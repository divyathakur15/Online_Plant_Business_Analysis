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drawings/drawing10.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11.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esktop\EXCEL\Excel.decode\"/>
    </mc:Choice>
  </mc:AlternateContent>
  <xr:revisionPtr revIDLastSave="0" documentId="13_ncr:1_{08E4C084-57DC-4C8B-B474-5AFD983F0F1D}" xr6:coauthVersionLast="47" xr6:coauthVersionMax="47" xr10:uidLastSave="{00000000-0000-0000-0000-000000000000}"/>
  <bookViews>
    <workbookView xWindow="-108" yWindow="-108" windowWidth="23256" windowHeight="12576" tabRatio="736" xr2:uid="{00000000-000D-0000-FFFF-FFFF00000000}"/>
  </bookViews>
  <sheets>
    <sheet name="DATA" sheetId="2" r:id="rId1"/>
    <sheet name="DASHBOARD" sheetId="13" r:id="rId2"/>
    <sheet name="plant size chart by count" sheetId="4" r:id="rId3"/>
    <sheet name="return policy chart by count" sheetId="5" r:id="rId4"/>
    <sheet name="plant type chart by count" sheetId="6" r:id="rId5"/>
    <sheet name="life cycle chart by count" sheetId="7" r:id="rId6"/>
    <sheet name="location chart by name" sheetId="8" r:id="rId7"/>
    <sheet name="feng shui chart by count" sheetId="9" r:id="rId8"/>
    <sheet name="hybride chart by count" sheetId="10" r:id="rId9"/>
    <sheet name="top 10 brand" sheetId="11" r:id="rId10"/>
    <sheet name="box and whisker" sheetId="3" r:id="rId11"/>
    <sheet name="HISTOGRAM" sheetId="15" r:id="rId12"/>
  </sheets>
  <definedNames>
    <definedName name="_xlnm._FilterDatabase" localSheetId="0" hidden="1">DATA!$A$1:$M$401</definedName>
    <definedName name="_xlchart.v1.0" hidden="1">'box and whisker'!$C$3</definedName>
    <definedName name="_xlchart.v1.1" hidden="1">'box and whisker'!$C$4:$C$403</definedName>
    <definedName name="_xlchart.v1.2" hidden="1">HISTOGRAM!$C$5</definedName>
    <definedName name="_xlchart.v1.3" hidden="1">HISTOGRAM!$C$6:$C$405</definedName>
  </definedName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3" l="1"/>
  <c r="F26" i="3"/>
  <c r="E26" i="3"/>
  <c r="P23" i="2"/>
  <c r="O42" i="2"/>
  <c r="S14" i="2"/>
  <c r="S8" i="2"/>
  <c r="S6" i="2"/>
  <c r="S4" i="2" l="1"/>
  <c r="P38" i="2"/>
  <c r="P36" i="2"/>
  <c r="P34" i="2"/>
  <c r="P27" i="2"/>
  <c r="P25" i="2"/>
  <c r="P17" i="2"/>
  <c r="P15" i="2"/>
  <c r="P13" i="2"/>
  <c r="P7" i="2"/>
  <c r="P5" i="2"/>
  <c r="P3" i="2"/>
</calcChain>
</file>

<file path=xl/sharedStrings.xml><?xml version="1.0" encoding="utf-8"?>
<sst xmlns="http://schemas.openxmlformats.org/spreadsheetml/2006/main" count="3704" uniqueCount="561">
  <si>
    <t>name</t>
  </si>
  <si>
    <t>original price</t>
  </si>
  <si>
    <t>special price</t>
  </si>
  <si>
    <t>discount</t>
  </si>
  <si>
    <t>plant size</t>
  </si>
  <si>
    <t>return policy</t>
  </si>
  <si>
    <t>type</t>
  </si>
  <si>
    <t>life cycle</t>
  </si>
  <si>
    <t>location</t>
  </si>
  <si>
    <t>feng shui</t>
  </si>
  <si>
    <t>plant age</t>
  </si>
  <si>
    <t>hybride</t>
  </si>
  <si>
    <t>brand</t>
  </si>
  <si>
    <t>Pottplants Anthurium Plant  (Pack of 1)</t>
  </si>
  <si>
    <t>Medium</t>
  </si>
  <si>
    <t>No Returns Allowed?</t>
  </si>
  <si>
    <t>Foliage</t>
  </si>
  <si>
    <t>Perennial</t>
  </si>
  <si>
    <t>Indoor</t>
  </si>
  <si>
    <t>No</t>
  </si>
  <si>
    <t>Pottplants</t>
  </si>
  <si>
    <t>greenhousestore Ficus Bonsai Plant  (Hybrid, Pack of 1)</t>
  </si>
  <si>
    <t>Small</t>
  </si>
  <si>
    <t>Fruit</t>
  </si>
  <si>
    <t>Annual</t>
  </si>
  <si>
    <t>Yes</t>
  </si>
  <si>
    <t>greenhousestore</t>
  </si>
  <si>
    <t>Roy's Fashoin Brahma Kamal Plant  (Hybrid, Pack of 1)</t>
  </si>
  <si>
    <t>Flower</t>
  </si>
  <si>
    <t>Roy's Fashoin</t>
  </si>
  <si>
    <t>FURYHUB Tomato Plant  (Hybrid, Pack of 1)</t>
  </si>
  <si>
    <t>FURYHUB</t>
  </si>
  <si>
    <t>Global Mart Plant Pomegranate Plant  (Hybrid, Pack of 1)</t>
  </si>
  <si>
    <t>Global Mart Plant</t>
  </si>
  <si>
    <t>greenhousestore Jackfruit Plant  (Hybrid, Pack of 1)</t>
  </si>
  <si>
    <t>Aquinnah Graden White Sandalwood Plant  (Hybrid, Pack of 1)</t>
  </si>
  <si>
    <t>Herb</t>
  </si>
  <si>
    <t>Aquinnah Graden</t>
  </si>
  <si>
    <t>Cloud Farm Gummy Gardenia Plant  (Hybrid, Pack of 1)</t>
  </si>
  <si>
    <t>Cloud Farm</t>
  </si>
  <si>
    <t>FSK Betel Nut/Supari Plant  (Hybrid, Pack of 1)</t>
  </si>
  <si>
    <t>FSK</t>
  </si>
  <si>
    <t>Cloud Farm Dragon Tree  (Hybrid, Pack of 3)</t>
  </si>
  <si>
    <t>AloGardening Dragon Tree  (Hybrid, Pack of 2)</t>
  </si>
  <si>
    <t>AloGardening</t>
  </si>
  <si>
    <t>Mrplant Jade Plant  (Pack of 1)</t>
  </si>
  <si>
    <t>Air purifier plant</t>
  </si>
  <si>
    <t>Mrplant</t>
  </si>
  <si>
    <t>pagoda point Crasulla Ovata Plant  (Hybrid, Pack of 1)</t>
  </si>
  <si>
    <t>Succulent</t>
  </si>
  <si>
    <t>pagoda point</t>
  </si>
  <si>
    <t>UGAOO Bamboo Palm Plant  (Pack of 1)</t>
  </si>
  <si>
    <t>Bamboo</t>
  </si>
  <si>
    <t>UGAOO</t>
  </si>
  <si>
    <t>LaughEarth White Sandalwood Plant  (Hybrid, Pack of 1)</t>
  </si>
  <si>
    <t>LaughEarth</t>
  </si>
  <si>
    <t>Ariya Berry Plant  (Hybrid, Pack of 1)</t>
  </si>
  <si>
    <t>Outdoor</t>
  </si>
  <si>
    <t>Ariya</t>
  </si>
  <si>
    <t>PlantsEarth Hibiscus Plant  (Hybrid, Pack of 1)</t>
  </si>
  <si>
    <t>PlantsEarth</t>
  </si>
  <si>
    <t>Bijaya Online Store Areca Palm  (Hybrid, Pack of 3)</t>
  </si>
  <si>
    <t>Bijaya Online Store</t>
  </si>
  <si>
    <t>ibains Mini Brazalian wood  (Hybrid, Pack of 44)</t>
  </si>
  <si>
    <t>Bonsai</t>
  </si>
  <si>
    <t>ibains</t>
  </si>
  <si>
    <t>AloGardening Guava Plant  (Hybrid, Pack of 1)</t>
  </si>
  <si>
    <t>AloGardening Dragon Tree  (Hybrid, Pack of 6)</t>
  </si>
  <si>
    <t>Ukanda Hibiscus Plant  (Hybrid, Pack of 1)</t>
  </si>
  <si>
    <t>Ukanda</t>
  </si>
  <si>
    <t>AloGardening Ber Apple Plant  (Hybrid, Pack of 1)</t>
  </si>
  <si>
    <t>EVY Shami/Jand Plant  (Hybrid, Pack of 1)</t>
  </si>
  <si>
    <t>EVY</t>
  </si>
  <si>
    <t>greenhousestore Hibiscus Plant  (Hybrid, Pack of 1)</t>
  </si>
  <si>
    <t>GreenHorizon Rudraksha Plant  (Hybrid, Pack of 1)</t>
  </si>
  <si>
    <t>GreenHorizon</t>
  </si>
  <si>
    <t>Corofitam Jamun Plant  (Hybrid, Pack of 1)</t>
  </si>
  <si>
    <t>Corofitam</t>
  </si>
  <si>
    <t>Ukanda Bay Leaf Plant  (Hybrid, Pack of 1)</t>
  </si>
  <si>
    <t>Gabbro Two Layer Bamboo Plant  (Hybrid, Pack of 2)</t>
  </si>
  <si>
    <t>Gabbro</t>
  </si>
  <si>
    <t>Cloud Farm Tuberose/Rajnigandha Plant  (Hybrid, Pack of 1)</t>
  </si>
  <si>
    <t>Augadh Orange Plant  (Hybrid, Pack of 1)</t>
  </si>
  <si>
    <t>Augadh</t>
  </si>
  <si>
    <t>natikrd Chrysanthemums/ Guldavari Plant  (Hybrid, Pack of 1)</t>
  </si>
  <si>
    <t>natikrd</t>
  </si>
  <si>
    <t>PETALFLEUR Adenium Plant  (Hybrid, Pack of 1)</t>
  </si>
  <si>
    <t>PETALFLEUR</t>
  </si>
  <si>
    <t>Tribute Giloy Plant  (Pack of 20)</t>
  </si>
  <si>
    <t>Tribute</t>
  </si>
  <si>
    <t>greenhousestore Shami/Jand Plant  (Hybrid, Pack of 1)</t>
  </si>
  <si>
    <t>greenhousestore Orchid Plant  (Hybrid, Pack of 1)</t>
  </si>
  <si>
    <t>HARIGURU Aparajita/ Butterfly Pea Plant  (Hybrid, Pack of 1)</t>
  </si>
  <si>
    <t>Biennial</t>
  </si>
  <si>
    <t>HARIGURU</t>
  </si>
  <si>
    <t>PLANTTOOZS White Sandalwood Plant  (Hybrid, Pack of 1)</t>
  </si>
  <si>
    <t>PLANTTOOZS</t>
  </si>
  <si>
    <t>ZOOMGREEN Aglaonema Plant  (Hybrid, Pack of 1)</t>
  </si>
  <si>
    <t>ZOOMGREEN</t>
  </si>
  <si>
    <t>greenhousestore Grapes Plant  (Hybrid, Pack of 1)</t>
  </si>
  <si>
    <t>Linaa Jade Plant  (Hybrid, Pack of 1)</t>
  </si>
  <si>
    <t>Linaa</t>
  </si>
  <si>
    <t>AquinnahGaden Pistachio Plant  (Hybrid, Pack of 1)</t>
  </si>
  <si>
    <t>AquinnahGaden</t>
  </si>
  <si>
    <t>MAITRA AND SONS Areca Plam  (Hybrid, Pack of 1)</t>
  </si>
  <si>
    <t>Shrub</t>
  </si>
  <si>
    <t>MAITRA AND SONS</t>
  </si>
  <si>
    <t>HIGH TECH FARM Wax Apple Plant  (Hybrid, Pack of 1)</t>
  </si>
  <si>
    <t>HIGH TECH FARM</t>
  </si>
  <si>
    <t>Grinian Spider Plant  (Hybrid, Pack of 1)</t>
  </si>
  <si>
    <t>Grinian</t>
  </si>
  <si>
    <t>GHF Two Layer Bamboo Plant  (Pack of 1)</t>
  </si>
  <si>
    <t>GHF</t>
  </si>
  <si>
    <t>PLANTTOOZS Coconut Plant  (Pack of 1)</t>
  </si>
  <si>
    <t>greenhousestore Curry Leaf Plant  (Hybrid, Pack of 1)</t>
  </si>
  <si>
    <t>AquinnahGaden Brahma Kamal Plant  (Hybrid, Pack of 1)</t>
  </si>
  <si>
    <t>Harshgreen Two Layer Bamboo Plant  (Pack of 2)</t>
  </si>
  <si>
    <t>Harshgreen</t>
  </si>
  <si>
    <t>EVY Rudraksha Plant  (Hybrid, Pack of 1)</t>
  </si>
  <si>
    <t>MircleGarden Tulsi Plant  (Hybrid, Pack of 1)</t>
  </si>
  <si>
    <t>MircleGarden</t>
  </si>
  <si>
    <t>Cloud Farm Adenium Plant  (Hybrid, Pack of 5)</t>
  </si>
  <si>
    <t>UGAOO Broken Heart Plant  (Hybrid, Pack of 1)</t>
  </si>
  <si>
    <t>AquinnahGaden Areca Palm  (Hybrid, Pack of 1)</t>
  </si>
  <si>
    <t>rimardmistu Drumstick Tree Plant  (Hybrid, Pack of 1)</t>
  </si>
  <si>
    <t>rimardmistu</t>
  </si>
  <si>
    <t>greengrow Neem Plant  (Hybrid, Pack of 1)</t>
  </si>
  <si>
    <t>greengrow</t>
  </si>
  <si>
    <t>greenhousestore Apple Plant  (Hybrid, Pack of 1)</t>
  </si>
  <si>
    <t>PB honey priya plant Shami/Jand Plant  (Hybrid, Pack of 1)</t>
  </si>
  <si>
    <t>PB honey priya plant</t>
  </si>
  <si>
    <t>Kyari Jade Plant  (Pack of 1)</t>
  </si>
  <si>
    <t>Kyari</t>
  </si>
  <si>
    <t>Click to purchase Madhu Kamini Plant  (Hybrid, Pack of 1)</t>
  </si>
  <si>
    <t>Click to purchase</t>
  </si>
  <si>
    <t>FasanGreen Jasmine Plant  (Hybrid, Pack of 1)</t>
  </si>
  <si>
    <t>FasanGreen</t>
  </si>
  <si>
    <t>AquinnahGaden Black Pepper Plant  (Hybrid, Pack of 2)</t>
  </si>
  <si>
    <t>PlantsMart Hibiscus Plant  (Hybrid, Pack of 1)</t>
  </si>
  <si>
    <t>PlantsMart</t>
  </si>
  <si>
    <t>Skrhuvoy Coleus Plant  (Pack of 1)</t>
  </si>
  <si>
    <t>Tree</t>
  </si>
  <si>
    <t>Skrhuvoy</t>
  </si>
  <si>
    <t>Cloud Farm Grapes Plant  (Hybrid, Pack of 1)</t>
  </si>
  <si>
    <t>Gereen View Bel Plant  (Hybrid, Pack of 1)</t>
  </si>
  <si>
    <t>Gereen View</t>
  </si>
  <si>
    <t>BALA PLANT CREATION Cherry Fruit Plant  (Hybrid, Pack of 1)</t>
  </si>
  <si>
    <t>BALA PLANT CREATION</t>
  </si>
  <si>
    <t>ARYAN EVERGREEN Rose Plant  (Hybrid, Pack of 1)</t>
  </si>
  <si>
    <t>ARYAN EVERGREEN</t>
  </si>
  <si>
    <t>ADITYA GREEN PLANTS AGP Bacopa Monnieri  (Pack of 1)</t>
  </si>
  <si>
    <t>ADITYA GREEN PLANTS AGP</t>
  </si>
  <si>
    <t>Cloud Farm Durian Plant  (Hybrid, Pack of 1)</t>
  </si>
  <si>
    <t>Global Mart Plant Mini Brazalian wood  (Hybrid, Pack of 1)</t>
  </si>
  <si>
    <t>GreenHorizon Guava Plant  (Hybrid, Pack of 1)</t>
  </si>
  <si>
    <t>FURYHUB Portulaca Plant  (Hybrid, Pack of 1)</t>
  </si>
  <si>
    <t>greenhousestore Wax Apple Plant  (Hybrid, Pack of 1)</t>
  </si>
  <si>
    <t>GreenGrowth Orchid Plant  (Hybrid, Pack of 4)</t>
  </si>
  <si>
    <t>GreenGrowth</t>
  </si>
  <si>
    <t>Royplant Snake Plant  (Hybrid, Pack of 1)</t>
  </si>
  <si>
    <t>Royplant</t>
  </si>
  <si>
    <t>Cloud Farm Rose Plant  (Hybrid, Pack of 1)</t>
  </si>
  <si>
    <t>GREENELAND lotus  (Hybrid, Pack of 1)</t>
  </si>
  <si>
    <t>GREENELAND</t>
  </si>
  <si>
    <t>Click to buy Calathea Dottie  (Hybrid, Pack of 1)</t>
  </si>
  <si>
    <t>Click to buy</t>
  </si>
  <si>
    <t>Hug A Plant Vanilla Plant  (Hybrid, Pack of 1)</t>
  </si>
  <si>
    <t>Creepers and Climbers</t>
  </si>
  <si>
    <t>Hug A Plant</t>
  </si>
  <si>
    <t>greengrow Snake Plant  (Hybrid, Pack of 1)</t>
  </si>
  <si>
    <t>EarthAngel Rose Plant  (Hybrid, Pack of 1)</t>
  </si>
  <si>
    <t>EarthAngel</t>
  </si>
  <si>
    <t>KUMUBON Begonia Vanusta Plant  (Pack of 1)</t>
  </si>
  <si>
    <t>KUMUBON</t>
  </si>
  <si>
    <t>greenhousestore ZZ Plant  (Hybrid, Pack of 1)</t>
  </si>
  <si>
    <t>greenhousestore Star Fruit Carambola Grafted Plant  (Hybrid, Pack of 1)</t>
  </si>
  <si>
    <t>HARIGURU Shahtoot/Mulberry Plant  (Hybrid, Pack of 1)</t>
  </si>
  <si>
    <t>greenhousestore Aloe Vera Plant  (Hybrid, Pack of 1)</t>
  </si>
  <si>
    <t>WZZA Laxmi Kamal Plant  (Hybrid, Pack of 1)</t>
  </si>
  <si>
    <t>WZZA</t>
  </si>
  <si>
    <t>FSK Cinnamon Plant  (Hybrid, Pack of 1)</t>
  </si>
  <si>
    <t>GHF Two Layer Bamboo Plant  (Hybrid, Pack of 1)</t>
  </si>
  <si>
    <t>greenhousestore Jack Fruit Plant  (Hybrid, Pack of 1)</t>
  </si>
  <si>
    <t>PB HONEY PRIYA PLaNTS Bluebell barleria Plant  (Hybrid, Pack of 1)</t>
  </si>
  <si>
    <t>PB HONEY PRIYA PLaNTS</t>
  </si>
  <si>
    <t>jarr Money Plant  (Hybrid, Pack of 1)</t>
  </si>
  <si>
    <t>jarr</t>
  </si>
  <si>
    <t>PB honey priya plant Star Fruit Carambola Grafted Plant  (Hybrid, Pack of 1)</t>
  </si>
  <si>
    <t>greenhousestore Madhumalti/Rangoon Creeper  (Hybrid, Pack of 1)</t>
  </si>
  <si>
    <t>AloGardening Betel Leaf Plant  (Hybrid, Pack of 1)</t>
  </si>
  <si>
    <t>Samarthgreens Pomegranate Plant  (Hybrid, Pack of 1)</t>
  </si>
  <si>
    <t>Samarthgreens</t>
  </si>
  <si>
    <t>PEDPOUDHE Calathea Plant  (Hybrid, Pack of 1)</t>
  </si>
  <si>
    <t>PEDPOUDHE</t>
  </si>
  <si>
    <t>GreenHorizon Aloe Vera Plant  (Hybrid, Pack of 1)</t>
  </si>
  <si>
    <t>Cloud Farm Adenium Plant  (Hybrid, Pack of 6)</t>
  </si>
  <si>
    <t>MAITRA AND SONS Jade Plant  (Hybrid, Pack of 1)</t>
  </si>
  <si>
    <t>E-GARDEN RED ROSE PLANT  (Pack of 1)</t>
  </si>
  <si>
    <t>E-GARDEN</t>
  </si>
  <si>
    <t>Zomoloco Ber Apple Plant  (Hybrid, Pack of 1)</t>
  </si>
  <si>
    <t>Zomoloco</t>
  </si>
  <si>
    <t>ARYAN EVERGREEN Lily Plant  (Hybrid, Pack of 1)</t>
  </si>
  <si>
    <t>greenhousestore Banana Plant  (Hybrid, Pack of 1)</t>
  </si>
  <si>
    <t>GaiaStore Orchid Plant  (Hybrid, Pack of 5)</t>
  </si>
  <si>
    <t>GaiaStore</t>
  </si>
  <si>
    <t>Gabbro Jade Plant  (Hybrid, Pack of 1)</t>
  </si>
  <si>
    <t>Rm live plant ZZ Plant  (Hybrid, Pack of 1)</t>
  </si>
  <si>
    <t>Rm live plant</t>
  </si>
  <si>
    <t>Vijay Sales Spider Plant  (Hybrid, Pack of 1)</t>
  </si>
  <si>
    <t>Vijay Sales</t>
  </si>
  <si>
    <t>greenhousestore Coconut Plant  (Hybrid, Pack of 1)</t>
  </si>
  <si>
    <t>greenhousestore Rose Plant  (Hybrid, Pack of 1)</t>
  </si>
  <si>
    <t>Tha live root Laxmi kamal Laxmi Kamal Plant  (Hybrid, Pack of 1)</t>
  </si>
  <si>
    <t>Tha live root Laxmi kamal</t>
  </si>
  <si>
    <t>AquinnahGaden Insulin Plant  (Hybrid, Pack of 1)</t>
  </si>
  <si>
    <t>sealok Euphorbia Plant  (Hybrid, Pack of 1)</t>
  </si>
  <si>
    <t>sealok</t>
  </si>
  <si>
    <t>ABEFARIYA Begonia Vanusta Plant  (Hybrid, Pack of 1)</t>
  </si>
  <si>
    <t>ABEFARIYA</t>
  </si>
  <si>
    <t>FURYHUB Money Plant  (Hybrid, Pack of 1)</t>
  </si>
  <si>
    <t>AloGardening Adenium Plant  (Hybrid, Pack of 9)</t>
  </si>
  <si>
    <t>MAITRA AND SONS Rosemary Plant  (Hybrid, Pack of 1)</t>
  </si>
  <si>
    <t>KUMUBON Madhu Kamini Plant  (Hybrid, Pack of 1)</t>
  </si>
  <si>
    <t>Cloud Farm Papaya Plant  (Hybrid, Pack of 1)</t>
  </si>
  <si>
    <t>LaughEarth Shami/Jand Plant  (Pack of 1)</t>
  </si>
  <si>
    <t>Marinetree Bougainvillea Plant  (Hybrid, Pack of 1)</t>
  </si>
  <si>
    <t>Marinetree</t>
  </si>
  <si>
    <t>Cloud Farm Chiku Plant  (Hybrid, Pack of 1)</t>
  </si>
  <si>
    <t>K,M.GREEN Tamarind Plant  (Hybrid, Pack of 1)</t>
  </si>
  <si>
    <t>K,M.GREEN</t>
  </si>
  <si>
    <t>Cloud Farm Almond Plant  (Hybrid, Pack of 1)</t>
  </si>
  <si>
    <t>ADA China Palm Plant  (Hybrid, Pack of 1)</t>
  </si>
  <si>
    <t>ADA</t>
  </si>
  <si>
    <t>Samarthgreens Ficus Plant  (Hybrid, Pack of 1)</t>
  </si>
  <si>
    <t>Ukanda ZZ Plant  (Hybrid, Pack of 1)</t>
  </si>
  <si>
    <t>FSK Coconut Plant  (Hybrid, Pack of 1)</t>
  </si>
  <si>
    <t>greenhousestore Lemon Plant  (Hybrid, Pack of 1)</t>
  </si>
  <si>
    <t>Aquinnah Banana Plant  (Hybrid, Pack of 1)</t>
  </si>
  <si>
    <t>Aquinnah</t>
  </si>
  <si>
    <t>greenhousestore Mango Plant  (Hybrid, Pack of 1)</t>
  </si>
  <si>
    <t>greenhousestore Black Pepper Plant  (Hybrid, Pack of 1)</t>
  </si>
  <si>
    <t>Cloud Farm Kiwi Plant  (Hybrid, Pack of 1)</t>
  </si>
  <si>
    <t>greenhousestore Amla Plant  (Hybrid, Pack of 1)</t>
  </si>
  <si>
    <t>AquinnahGaden Litchi Plant  (Hybrid, Pack of 1)</t>
  </si>
  <si>
    <t>AGAMI Two Layer Bamboo Plant  (Pack of 1)</t>
  </si>
  <si>
    <t>AGAMI</t>
  </si>
  <si>
    <t>PETALFLEUR Adenium Plant  (Hybrid, Pack of 2)</t>
  </si>
  <si>
    <t>Cloud Farm Adenium Plant  (Hybrid, Pack of 1)</t>
  </si>
  <si>
    <t>EliteGreen Betel Nut/Supari Plant  (Hybrid, Pack of 1)</t>
  </si>
  <si>
    <t>EliteGreen</t>
  </si>
  <si>
    <t>Nature House Snake Plant  (Pack of 1)</t>
  </si>
  <si>
    <t>Nature House</t>
  </si>
  <si>
    <t>greenhousestore Christmas Tree Plant  (Hybrid, Pack of 1)</t>
  </si>
  <si>
    <t>NATURE WISE YOU Spider Plant  (Hybrid, Pack of 1)</t>
  </si>
  <si>
    <t>NATURE WISE YOU</t>
  </si>
  <si>
    <t>KUMUBON Amla Plant  (Hybrid, Pack of 1)</t>
  </si>
  <si>
    <t>GreenHorizon Elaichi/Cardamom Plant  (Hybrid, Pack of 1)</t>
  </si>
  <si>
    <t>Heaven Of Saplings Gummy Gardenia Plant  (Hybrid, Pack of 1)</t>
  </si>
  <si>
    <t>Heaven Of Saplings</t>
  </si>
  <si>
    <t>PEEPALSFARM Betel Leaf Plant  (Hybrid, Pack of 1)</t>
  </si>
  <si>
    <t>PEEPALSFARM</t>
  </si>
  <si>
    <t>AloGardening ZZ Plant  (Hybrid, Pack of 1)</t>
  </si>
  <si>
    <t>greenhousestore Walnut Plant  (Hybrid, Pack of 1)</t>
  </si>
  <si>
    <t>EVY Tea Plant  (Hybrid, Pack of 1)</t>
  </si>
  <si>
    <t>Global Mart Plant Blackberry Lily Plant  (Hybrid, Pack of 1)</t>
  </si>
  <si>
    <t>Durga Green Garden Golden Champa Plant  (Hybrid, Pack of 1)</t>
  </si>
  <si>
    <t>Durga Green Garden</t>
  </si>
  <si>
    <t>Grinian Bougainvillea Plant  (Hybrid, Pack of 1)</t>
  </si>
  <si>
    <t>EVY Lily Plant  (Hybrid, Pack of 1)</t>
  </si>
  <si>
    <t>UGAOO Variegated Money Plant  (Pack of 1)</t>
  </si>
  <si>
    <t>minatigreenhouse Walnut Plant  (Hybrid, Pack of 1)</t>
  </si>
  <si>
    <t>minatigreenhouse</t>
  </si>
  <si>
    <t>greenhousestore Elaichi/Cardamom Plant  (Hybrid, Pack of 1)</t>
  </si>
  <si>
    <t>Cloud Farm Ber Apple Plant  (Hybrid, Pack of 1)</t>
  </si>
  <si>
    <t>Gabbro Two Layer Bamboo Plant, Jade Plant  (Hybrid, Pack of 2)</t>
  </si>
  <si>
    <t>Click to buy Peace Lily Plant  (Hybrid, Pack of 1)</t>
  </si>
  <si>
    <t>LivePlant Calathea Plant  (Pack of 1)</t>
  </si>
  <si>
    <t>LivePlant</t>
  </si>
  <si>
    <t>Aquinnah Rose Plant  (Hybrid, Pack of 1)</t>
  </si>
  <si>
    <t>Samarthgreens Red Sandalwood Plant  (Pack of 1)</t>
  </si>
  <si>
    <t>Linaa Rubber Tree  (Hybrid, Pack of 1)</t>
  </si>
  <si>
    <t>Oxygreenplant Phoneix Palm Plant  (Hybrid, Pack of 1)</t>
  </si>
  <si>
    <t>Oxygreenplant</t>
  </si>
  <si>
    <t>JD DAS AND SONS PLANTS Gerbera Plant  (Hybrid, Pack of 1)</t>
  </si>
  <si>
    <t>JD DAS AND SONS PLANTS</t>
  </si>
  <si>
    <t>Cloud Farm Golden Champa Plant  (Hybrid, Pack of 1)</t>
  </si>
  <si>
    <t>LaughEarth Ficus Bonsai  (Hybrid, Pack of 1)</t>
  </si>
  <si>
    <t>ABEFARIYA Mogra Flowering Plant, Jasmine Plant  (Hybrid, Pack of 1)</t>
  </si>
  <si>
    <t>JASSI FLORA Three Layer Bamboo Plant  (Hybrid, Pack of 1)</t>
  </si>
  <si>
    <t>JASSI FLORA</t>
  </si>
  <si>
    <t>Oxygreenplant Elaichi/Cardamom Plant  (Hybrid, Pack of 1)</t>
  </si>
  <si>
    <t>UGAOO Brazilian Wood  (Pack of 1)</t>
  </si>
  <si>
    <t>Farmplants Kalanchoe Plant  (Hybrid, Pack of 1)</t>
  </si>
  <si>
    <t>Farmplants</t>
  </si>
  <si>
    <t>EVY Kiwi Plant  (Hybrid, Pack of 1)</t>
  </si>
  <si>
    <t>varnicrea Mini Brazalian wood  (Pack of 1)</t>
  </si>
  <si>
    <t>varnicrea</t>
  </si>
  <si>
    <t>Wavingleaf Jade Plant  (Pack of 1)</t>
  </si>
  <si>
    <t>Wavingleaf</t>
  </si>
  <si>
    <t>The Four Seasons Tillandsia Fuchsii Rare Air Plant  (Pack of 1)</t>
  </si>
  <si>
    <t>The Four Seasons</t>
  </si>
  <si>
    <t>rimardmistu Strawberry Plant  (Hybrid, Pack of 1)</t>
  </si>
  <si>
    <t>RADHE SALES Mini Brazalian wood  (Pack of 1)</t>
  </si>
  <si>
    <t>RADHE SALES</t>
  </si>
  <si>
    <t>Growerstore Madhu Kamini Plant  (Hybrid, Pack of 1)</t>
  </si>
  <si>
    <t>Growerstore</t>
  </si>
  <si>
    <t>PB honey priya plant Grapes Plant  (Hybrid, Pack of 1)</t>
  </si>
  <si>
    <t>My Dream Nursery Two Layer Bamboo Plant  (Hybrid, Pack of 1)</t>
  </si>
  <si>
    <t>My Dream Nursery</t>
  </si>
  <si>
    <t>Unisam Bel patra plant Pot Bel Plant  (Hybrid, Pack of 1)</t>
  </si>
  <si>
    <t>Unisam Bel patra plant Pot</t>
  </si>
  <si>
    <t>AloGardening Chrysanthemums/ Guldavari Plant  (Hybrid, Pack of 1)</t>
  </si>
  <si>
    <t>PLANTTOOZS Ficus Bonsai  (Hybrid, Pack of 1)</t>
  </si>
  <si>
    <t>greenhousestore Strawberry Plant  (Hybrid, Pack of 2)</t>
  </si>
  <si>
    <t>RoyalTree Rose Plant  (Hybrid, Pack of 1)</t>
  </si>
  <si>
    <t>RoyalTree</t>
  </si>
  <si>
    <t>UGAOO Haworthia Cactus  (Pack of 1)</t>
  </si>
  <si>
    <t>TECNOFEX Money Plant, Bamboo Palm Plant, Lucky Bamboo Straight Stick  (Hybrid, Pack of 1)</t>
  </si>
  <si>
    <t>TECNOFEX</t>
  </si>
  <si>
    <t>Majumder Enterprise Bougainvillea Plant  (Hybrid, Pack of 1)</t>
  </si>
  <si>
    <t>Majumder Enterprise</t>
  </si>
  <si>
    <t>BRAZILIAN WOOD TREE Mini Brazalian wood  (Pack of 1)</t>
  </si>
  <si>
    <t>BRAZILIAN WOOD TREE</t>
  </si>
  <si>
    <t>EVY Ashwagandha/Indian Ginseng  (Hybrid, Pack of 1)</t>
  </si>
  <si>
    <t>LaughEarth Areca Palm  (Hybrid, Pack of 1)</t>
  </si>
  <si>
    <t>PlantsHub Peace Lily Plant  (Hybrid, Pack of 1)</t>
  </si>
  <si>
    <t>PlantsHub</t>
  </si>
  <si>
    <t>FSK Aparajita/ Butterfly Pea Plant  (Hybrid, Pack of 2)</t>
  </si>
  <si>
    <t>greenhousestore Ber Apple Plant  (Hybrid, Pack of 1)</t>
  </si>
  <si>
    <t>FSK Rose Plant  (Hybrid, Pack of 1)</t>
  </si>
  <si>
    <t>Cloud Farm Baugainvillea Plant  (Hybrid, Pack of 1)</t>
  </si>
  <si>
    <t>ToGon Rose Plant  (Hybrid, Pack of 4)</t>
  </si>
  <si>
    <t>ToGon</t>
  </si>
  <si>
    <t>greenhousestore Areca Palm  (Hybrid, Pack of 1)</t>
  </si>
  <si>
    <t>AloGardening Christmas Tree Plant  (Hybrid, Pack of 1)</t>
  </si>
  <si>
    <t>Krishna All Time Grafted Mango Plant  (Hybrid, Pack of 1)</t>
  </si>
  <si>
    <t>Krishna All Time Grafted</t>
  </si>
  <si>
    <t>greenhousestore Bougainvillea Plant  (Hybrid, Pack of 1)</t>
  </si>
  <si>
    <t>UGAOO Golden Money Plant  (Pack of 1)</t>
  </si>
  <si>
    <t>GLOBQRO Grape Plant  (Hybrid, Pack of 1)</t>
  </si>
  <si>
    <t>GLOBQRO</t>
  </si>
  <si>
    <t>AquinnahGaden Baugainvillea Plant  (Hybrid, Pack of 1)</t>
  </si>
  <si>
    <t>FSK China Palm Plant  (Hybrid, Pack of 1)</t>
  </si>
  <si>
    <t>UGAOO Chlorophytum Spider Plant  (Pack of 1)</t>
  </si>
  <si>
    <t>Risenshine Jade Plant  (Hybrid, Pack of 1)</t>
  </si>
  <si>
    <t>Risenshine</t>
  </si>
  <si>
    <t>Samarthgreens Tuberose/Rajnigandha Plant  (Hybrid, Pack of 1)</t>
  </si>
  <si>
    <t>greenhousestore Litchi Plant  (Hybrid, Pack of 1)</t>
  </si>
  <si>
    <t>Cloud Farm Areca Plam  (Pack of 1)</t>
  </si>
  <si>
    <t>EarthAngel Neem Plant  (Hybrid, Pack of 1)</t>
  </si>
  <si>
    <t>Agriclons and nusary Bryophyllum Pinnatum/Patharchatta Plant  (Hybrid, Pack of 1)</t>
  </si>
  <si>
    <t>Agriclons and nusary</t>
  </si>
  <si>
    <t>PLANTTOOZS Elaichi/Cardamom Plant  (Hybrid, Pack of 1)</t>
  </si>
  <si>
    <t>Laxmi kamal plant Laxmi Kamal Plant  (Hybrid, Pack of 2)</t>
  </si>
  <si>
    <t>Laxmi kamal plant</t>
  </si>
  <si>
    <t>LaughEarth Peace Lily Plant  (Hybrid, Pack of 1)</t>
  </si>
  <si>
    <t>MIDNIGHT MORNING Rose Plant  (Hybrid, Pack of 1)</t>
  </si>
  <si>
    <t>MIDNIGHT MORNING</t>
  </si>
  <si>
    <t>Tigress Tulsi Plant  (Hybrid, Pack of 1)</t>
  </si>
  <si>
    <t>Tigress</t>
  </si>
  <si>
    <t>JESAA GREENS Jade Plant, Money Plant, Snake Plant, Two Layer Bamboo Plant, Syngonium Bronze Maria Plant  (Pack of 5)</t>
  </si>
  <si>
    <t>JESAA GREENS</t>
  </si>
  <si>
    <t>MAHAMAYA A TO Z Water Pennywort  (Pack of 2)</t>
  </si>
  <si>
    <t>MAHAMAYA A TO Z</t>
  </si>
  <si>
    <t>Axotic Diamond Grafted Apple Plant  (Hybrid, Pack of 1)</t>
  </si>
  <si>
    <t>Axotic Diamond Grafted</t>
  </si>
  <si>
    <t>Global Mart Plant Bougainvillea Plant  (Hybrid, Pack of 1)</t>
  </si>
  <si>
    <t>Risenshine Bryophyllum Pinnatum/Patharchatta Plant  (Pack of 1)</t>
  </si>
  <si>
    <t>bhowmick Areca Palm  (Hybrid, Pack of 1)</t>
  </si>
  <si>
    <t>bhowmick</t>
  </si>
  <si>
    <t>HARIGURU All Spice Plant  (Pack of 1)</t>
  </si>
  <si>
    <t>AloGardening Adenium Plant  (Hybrid, Pack of 2)</t>
  </si>
  <si>
    <t>Mohomaya Sweet Lemon Plant  (Hybrid, Pack of 1)</t>
  </si>
  <si>
    <t>Mohomaya</t>
  </si>
  <si>
    <t>bhowmick Baugainvillea Plant  (Hybrid, Pack of 1)</t>
  </si>
  <si>
    <t>My Dream Nursery Black Pepper Plant  (Hybrid, Pack of 1)</t>
  </si>
  <si>
    <t>AloGardening Adenium Plant  (Hybrid, Pack of 6)</t>
  </si>
  <si>
    <t>RudraECOM Hibiscus Plant  (Hybrid, Pack of 1)</t>
  </si>
  <si>
    <t>RudraECOM</t>
  </si>
  <si>
    <t>MAHAMAYA A TO Z Mimosa pudica Plant  (Hybrid, Pack of 1)</t>
  </si>
  <si>
    <t>Aquinnah Almond Plant  (Hybrid, Pack of 1)</t>
  </si>
  <si>
    <t>Gabbro Two Layer Bamboo Plant  (Hybrid, Pack of 1)</t>
  </si>
  <si>
    <t>Heaven Of Saplings Areca Palm  (Hybrid, Pack of 1)</t>
  </si>
  <si>
    <t>SKDIYA Cherry Fruit Plant  (Hybrid, Pack of 1)</t>
  </si>
  <si>
    <t>SKDIYA</t>
  </si>
  <si>
    <t>UGAOO Peace Lily Plant  (Pack of 1)</t>
  </si>
  <si>
    <t>ZOOMGREEN Areca Palm  (Pack of 1)</t>
  </si>
  <si>
    <t>ADA Shami/Jand Plant  (Pack of 1)</t>
  </si>
  <si>
    <t>Green view Coconut Plant  (Hybrid, Pack of 1)</t>
  </si>
  <si>
    <t>Green view</t>
  </si>
  <si>
    <t>PlantsBazaar Rubber Tree  (Pack of 1)</t>
  </si>
  <si>
    <t>PlantsBazaar</t>
  </si>
  <si>
    <t>SANJU Strawberry Plant  (Hybrid, Pack of 1)</t>
  </si>
  <si>
    <t>SANJU</t>
  </si>
  <si>
    <t>Aquinnah Graden Pistachio Plant  (Hybrid, Pack of 1)</t>
  </si>
  <si>
    <t>sspykrts Clove Plant  (Hybrid, Pack of 3)</t>
  </si>
  <si>
    <t>sspykrts</t>
  </si>
  <si>
    <t>PLANTTOOZS Red Sandalwood Plant  (Pack of 1)</t>
  </si>
  <si>
    <t>Cloud Farm Grapes Plant  (Hybrid, Pack of 2)</t>
  </si>
  <si>
    <t>Global Mart Plant Cannon Ball Tree Plant  (Hybrid, Pack of 1)</t>
  </si>
  <si>
    <t>Ukaanda Money Plant  (Pack of 1)</t>
  </si>
  <si>
    <t>Ukaanda</t>
  </si>
  <si>
    <t>Cloud Farm Money Plant  (Hybrid, Pack of 1)</t>
  </si>
  <si>
    <t>Phoolistan Ficus Plant  (Hybrid, Pack of 1)</t>
  </si>
  <si>
    <t>Phoolistan</t>
  </si>
  <si>
    <t>UGAOO Golden Sedum Plant  (Pack of 1)</t>
  </si>
  <si>
    <t>GLOBQRO Begonia Vanusta Plant  (Hybrid, Pack of 1)</t>
  </si>
  <si>
    <t>greengrow Shami/Jand Plant  (Pack of 1)</t>
  </si>
  <si>
    <t>AloGardening Basmati Plant  (Hybrid, Pack of 1)</t>
  </si>
  <si>
    <t>Cloud Farm Bougainvillea Plant  (Hybrid, Pack of 1)</t>
  </si>
  <si>
    <t>YourPlant Adenium Plant  (Hybrid, Pack of 2)</t>
  </si>
  <si>
    <t>YourPlant</t>
  </si>
  <si>
    <t>PLANTGENIC NATURE White Sandalwood Plant  (Hybrid, Pack of 1)</t>
  </si>
  <si>
    <t>PLANTGENIC NATURE</t>
  </si>
  <si>
    <t>GreenHorizon Bryophyllum Pinnatum/Patharchatta Plant  (Pack of 1)</t>
  </si>
  <si>
    <t>Cloud Farm Coconut Plant  (Hybrid, Pack of 1)</t>
  </si>
  <si>
    <t>ibains Mini Brazalian wood  (Hybrid, Pack of 1)</t>
  </si>
  <si>
    <t>Large</t>
  </si>
  <si>
    <t>Natural needs Adenium Plant  (Hybrid, Pack of 1)</t>
  </si>
  <si>
    <t>Natural needs</t>
  </si>
  <si>
    <t>LaughEarth Bougainvillea Plant  (Hybrid, Pack of 1)</t>
  </si>
  <si>
    <t>LaughEarth Hibiscus Plant  (Hybrid, Pack of 1)</t>
  </si>
  <si>
    <t>LivePlant Money Plant  (Hybrid, Pack of 1)</t>
  </si>
  <si>
    <t>Leafyjoy Brazilian Wood  (Pack of 1)</t>
  </si>
  <si>
    <t>Leafyjoy</t>
  </si>
  <si>
    <t>greenhousestore Orange Plant  (Hybrid, Pack of 1)</t>
  </si>
  <si>
    <t>Cloud Farm Dragon Tree  (Hybrid, Pack of 5)</t>
  </si>
  <si>
    <t>KAVARI ENTERPRISE Rose Plant  (Hybrid, Pack of 1)</t>
  </si>
  <si>
    <t>KAVARI ENTERPRISE</t>
  </si>
  <si>
    <t>greenhousestore Adenium Plant  (Hybrid, Pack of 1)</t>
  </si>
  <si>
    <t>Cloud Farm Betel Leaf Plant  (Hybrid, Pack of 1)</t>
  </si>
  <si>
    <t>Risenshine Adenium Plant  (Hybrid, Pack of 1)</t>
  </si>
  <si>
    <t>TAWZIX Money Plant  (Hybrid, Pack of 1)</t>
  </si>
  <si>
    <t>TAWZIX</t>
  </si>
  <si>
    <t>EarthAngel Snake Plant  (Hybrid, Pack of 1)</t>
  </si>
  <si>
    <t>Aziz Gazi Nursery Dragon Tree  (Hybrid, Pack of 1)</t>
  </si>
  <si>
    <t>Aziz Gazi Nursery</t>
  </si>
  <si>
    <t>Medhi Snake Plant  (Hybrid, Pack of 1)</t>
  </si>
  <si>
    <t>Medhi</t>
  </si>
  <si>
    <t>greenhousestore Ficus Bonsai  (Hybrid, Pack of 1)</t>
  </si>
  <si>
    <t>Saeedia plant hub Acanthocerous Tetragonous Mons Variegated Fairy Castle Plant  (Hybrid, Pack of 1)</t>
  </si>
  <si>
    <t>Saeedia plant hub</t>
  </si>
  <si>
    <t>AGRAWBIC Two Layer Bamboo Plant  (Hybrid, Pack of 1)</t>
  </si>
  <si>
    <t>AGRAWBIC</t>
  </si>
  <si>
    <t>Broken heart plant Broken Heart Plant  (Pack of 1)</t>
  </si>
  <si>
    <t>Broken heart plant</t>
  </si>
  <si>
    <t>Plant Paradise Rudraksha Plant  (Hybrid, Pack of 1)</t>
  </si>
  <si>
    <t>Plant Paradise</t>
  </si>
  <si>
    <t>Gardanglow Marsh Barbel Plant  (Hybrid, Pack of 1)</t>
  </si>
  <si>
    <t>Gardanglow</t>
  </si>
  <si>
    <t>greenhousestore Baugainvillea Plant  (Hybrid, Pack of 1)</t>
  </si>
  <si>
    <t>Flora Solutions Money Plant  (Hybrid, Pack of 2)</t>
  </si>
  <si>
    <t>Flora Solutions</t>
  </si>
  <si>
    <t>HouseOfCommon Orange Plant  (Hybrid, Pack of 1)</t>
  </si>
  <si>
    <t>HouseOfCommon</t>
  </si>
  <si>
    <t>Real Nature Three Layer Bamboo Plant  (Hybrid, Pack of 1)</t>
  </si>
  <si>
    <t>Real Nature</t>
  </si>
  <si>
    <t>PB honey priya plant Bottle Gourd  (Hybrid, Pack of 35)</t>
  </si>
  <si>
    <t>Vegetable</t>
  </si>
  <si>
    <t>Oxygreenplant Shahtoot/Mulberry Plant  (Hybrid, Pack of 1)</t>
  </si>
  <si>
    <t>Ukanda Canna Lily Plant  (Hybrid, Pack of 1)</t>
  </si>
  <si>
    <t>LaughEarth Hibiscus Plant  (Hybrid, Pack of 3)</t>
  </si>
  <si>
    <t>Real Nature Lucky Bamboo Plant  (Hybrid, Pack of 1)</t>
  </si>
  <si>
    <t>greenhousestore Mint Plant  (Hybrid, Pack of 1)</t>
  </si>
  <si>
    <t>JESAA GREENS Money Plant, Bamboo Palm Plant  (Pack of 2)</t>
  </si>
  <si>
    <t>GREENSEE Orchid Plant  (Hybrid, Pack of 4)</t>
  </si>
  <si>
    <t>GREENSEE</t>
  </si>
  <si>
    <t>Cloud Farm Betal Leaf Plant  (Hybrid, Pack of 1)</t>
  </si>
  <si>
    <t>Aquinnah Betel Leaf Plant  (Hybrid, Pack of 1)</t>
  </si>
  <si>
    <t>THE BHOWMICK Mango Plant  (Hybrid, Pack of 1)</t>
  </si>
  <si>
    <t>THE BHOWMICK</t>
  </si>
  <si>
    <t>K.K.Enterprise Lemon Plant  (Hybrid, Pack of 1)</t>
  </si>
  <si>
    <t>K.K.Enterprise</t>
  </si>
  <si>
    <t>Zomoloco Adenium Plant  (Hybrid, Pack of 1)</t>
  </si>
  <si>
    <t>Gaingreen Chiku Plant  (Hybrid, Pack of 1)</t>
  </si>
  <si>
    <t>Gaingreen</t>
  </si>
  <si>
    <t>Kyari Money Plant  (Pack of 1)</t>
  </si>
  <si>
    <t>saraswati traders ZZ Plant  (Hybrid, Pack of 1)</t>
  </si>
  <si>
    <t>saraswati traders</t>
  </si>
  <si>
    <t>GROSSAMER Lotus Plant, Syngonium Bronze Maria Plant  (Pack of 40)</t>
  </si>
  <si>
    <t>GROSSAMER</t>
  </si>
  <si>
    <t>PlantShop Orange Plant  (Hybrid, Pack of 1)</t>
  </si>
  <si>
    <t>PlantShop</t>
  </si>
  <si>
    <t>Grinian Aloe Vera Plant  (Hybrid, Pack of 1)</t>
  </si>
  <si>
    <t>greenhousestore Avocado Plant  (Hybrid, Pack of 1)</t>
  </si>
  <si>
    <t>FSK Hibiscus Plant  (Hybrid, Pack of 1)</t>
  </si>
  <si>
    <t>Tha live root vishnu kamal Furkeria Succulent Plant  (Hybrid, Pack of 1)</t>
  </si>
  <si>
    <t>Tha live root vishnu kamal</t>
  </si>
  <si>
    <t>greenhousestore Rose Plant  (Hybrid, Pack of 3)</t>
  </si>
  <si>
    <t>AloGardening Serissa Hedge Plant  (Hybrid, Pack of 1)</t>
  </si>
  <si>
    <t>Hug A Plant Cocoa Plant  (Hybrid, Pack of 1)</t>
  </si>
  <si>
    <t>My Dream Nursery Kiwi Plant  (Hybrid, Pack of 1)</t>
  </si>
  <si>
    <t>greenhousestore Chiku Plant  (Hybrid, Pack of 1)</t>
  </si>
  <si>
    <t>NiMoj Two Layer Bamboo Plant, Lucky Bamboo Straight Stick, Veld Grape Plant  (Hybrid, Pack of 1)</t>
  </si>
  <si>
    <t>NiMoj</t>
  </si>
  <si>
    <t>ATIKNAM Mini Brazalian wood  (Hybrid, Pack of 1)</t>
  </si>
  <si>
    <t>ATIKNAM</t>
  </si>
  <si>
    <t>L BRAZILIAN LUCKY WOOD PLANT Basil Plant  (Hybrid, Pack of 1)</t>
  </si>
  <si>
    <t>L BRAZILIAN LUCKY WOOD PLANT</t>
  </si>
  <si>
    <t>greenhousestore Kiwi Plant  (Hybrid, Pack of 1)</t>
  </si>
  <si>
    <t>UGAOO Christmas Cactus Plant  (Pack of 1)</t>
  </si>
  <si>
    <t>GeenLk Golden Money Plant  (Hybrid, Pack of 1)</t>
  </si>
  <si>
    <t>GeenLk</t>
  </si>
  <si>
    <t>Elanthalir Table Palm Plant  (Hybrid, Pack of 1)</t>
  </si>
  <si>
    <t>Elanthalir</t>
  </si>
  <si>
    <t>Samarthgreens Strawberry Plant  (Hybrid, Pack of 1)</t>
  </si>
  <si>
    <t>UGAOO Golden Aralia Plant  (Pack of 1)</t>
  </si>
  <si>
    <t>UGAOO Jade Plant  (Hybrid, Pack of 1)</t>
  </si>
  <si>
    <t>Nursery Hub Jade Plant  (Pack of 6)</t>
  </si>
  <si>
    <t>Nursery Hub</t>
  </si>
  <si>
    <t>UGAOO Two Layer Bamboo Plant  (Pack of 1)</t>
  </si>
  <si>
    <t>UGAOO Three Layer Bamboo Plant  (Pack of 1)</t>
  </si>
  <si>
    <t>EVY Tuberose/Rajnigandha Plant  (Hybrid, Pack of 1)</t>
  </si>
  <si>
    <t>UGAOO Philodendron Micans Plant  (Pack of 1)</t>
  </si>
  <si>
    <t>LaughEarth Parijat/Harsingar Plant  (Hybrid, Pack of 1)</t>
  </si>
  <si>
    <t>UGAOO Philodendron Brasil Plant  (Pack of 1)</t>
  </si>
  <si>
    <t>Unisam Laxmi Lakshmi Kamal Laxmi Kamal Plant  (Hybrid, Pack of 1)</t>
  </si>
  <si>
    <t>Unisam Laxmi Lakshmi Kamal</t>
  </si>
  <si>
    <t>Heaven Of Saplings Bacopa Monnieri  (Hybrid, Pack of 1)</t>
  </si>
  <si>
    <t>Cloud Farm Hibiscus Plant  (Hybrid, Pack of 4)</t>
  </si>
  <si>
    <t>UGAOO Philodendron Plant  (Pack of 1)</t>
  </si>
  <si>
    <t>AloGardening Dragon Tree  (Hybrid, Pack of 3)</t>
  </si>
  <si>
    <t>UGAOO Green Philodendron Oxycardium Plant  (Pack of 1)</t>
  </si>
  <si>
    <t>HARIGURU All Spice Plant  (Hybrid, Pack of 1)</t>
  </si>
  <si>
    <t>UGAOO Njoy Money Plant  (Pack of 1)</t>
  </si>
  <si>
    <t>UGAOO Snake Plant  (Pack of 1)</t>
  </si>
  <si>
    <t>plantsNpetals Three Layer Bamboo Plant  (Hybrid, Pack of 1)</t>
  </si>
  <si>
    <t>plantsNpetals</t>
  </si>
  <si>
    <t>UGAOO Syngonium Plant  (Pack of 1)</t>
  </si>
  <si>
    <t>UGAOO Broken Heart Plant  (Pack of 1)</t>
  </si>
  <si>
    <t>UGAOO Jade Plant  (Pack of 1)</t>
  </si>
  <si>
    <t>TAYAN Bamboo Palm Plant  (Pack of 1)</t>
  </si>
  <si>
    <t>TAYAN</t>
  </si>
  <si>
    <t>Real Nature Two Layer Bamboo Plant  (Pack of 1)</t>
  </si>
  <si>
    <t>GIRISHA TRADERS Two Layer Bamboo Plant, Lucky Bamboo Straight Stick, Dracaena Plant  (Pack of 1)</t>
  </si>
  <si>
    <t>GIRISHA TRADERS</t>
  </si>
  <si>
    <t>plantsNpetals Two Layer Bamboo Plant  (Hybrid, Pack of 1)</t>
  </si>
  <si>
    <t>RJGUDDU Mini Brazalian wood  (Hybrid, Pack of 1)</t>
  </si>
  <si>
    <t>RJGUDDU</t>
  </si>
  <si>
    <t>Both</t>
  </si>
  <si>
    <t>MEDIAN</t>
  </si>
  <si>
    <t>MEAN</t>
  </si>
  <si>
    <t>MODE</t>
  </si>
  <si>
    <t>ORIGINAL PRICE</t>
  </si>
  <si>
    <t>SPECIAL PRICE</t>
  </si>
  <si>
    <t>DISCOUNT</t>
  </si>
  <si>
    <t>PLANT AGE</t>
  </si>
  <si>
    <t>COUNTIF(SMALL)</t>
  </si>
  <si>
    <t>COUNTIF(MEDIUM)</t>
  </si>
  <si>
    <t>COUNTIF(LARGE)</t>
  </si>
  <si>
    <t>PLANT SIZE</t>
  </si>
  <si>
    <t>HYBRIDE</t>
  </si>
  <si>
    <t>COUNT OF YES</t>
  </si>
  <si>
    <t xml:space="preserve">BY USING A CHART NAMED "BOX and WHISKER"   we  find the outliers </t>
  </si>
  <si>
    <t>IT has a box which shows the maximum number of values or percentage of the prices and there are two lines above and below  which shows that maximum and minimum prices  the cross sign in the box shows the mean or average and the line in the box shows the median .</t>
  </si>
  <si>
    <t xml:space="preserve"> BY USING A CHART NAMED " HISTOGRAM" WE SHOW THE DISTRIBUTION </t>
  </si>
  <si>
    <t xml:space="preserve">HISTOGRAM is mainly used for ditribution of data </t>
  </si>
  <si>
    <t>Row Labels</t>
  </si>
  <si>
    <t>Grand Total</t>
  </si>
  <si>
    <t>Count of brand</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</si>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</sst>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39]* #,##0.00_ ;_ [$₹-439]* \-#,##0.00_ ;_ [$₹-439]* &quot;-&quot;??_ ;_ @_ "/>
  </numFmts>
  <fonts count="11" x14ac:knownFonts="1">
    <font>
      <sz val="12"/>
      <color theme="1"/>
      <name val="Calibri"/>
      <scheme val="minor"/>
    </font>
    <font>
      <sz val="12"/>
      <color theme="1"/>
      <name val="Calibri"/>
    </font>
    <font>
      <sz val="11"/>
      <color rgb="FF9C6500"/>
      <name val="Calibri"/>
      <family val="2"/>
      <scheme val="minor"/>
    </font>
    <font>
      <b/>
      <i/>
      <u/>
      <sz val="12"/>
      <color theme="1" tint="4.9989318521683403E-2"/>
      <name val="Calibri"/>
      <family val="2"/>
      <scheme val="minor"/>
    </font>
    <font>
      <sz val="12"/>
      <color theme="1"/>
      <name val="Calibri"/>
      <family val="2"/>
    </font>
    <font>
      <b/>
      <sz val="11"/>
      <color rgb="FFFA7D00"/>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
      <b/>
      <sz val="20"/>
      <color theme="1"/>
      <name val="Calibri"/>
      <family val="2"/>
      <scheme val="minor"/>
    </font>
    <font>
      <sz val="20"/>
      <color theme="1"/>
      <name val="Calibri"/>
      <family val="2"/>
      <scheme val="minor"/>
    </font>
  </fonts>
  <fills count="7">
    <fill>
      <patternFill patternType="none"/>
    </fill>
    <fill>
      <patternFill patternType="gray125"/>
    </fill>
    <fill>
      <patternFill patternType="solid">
        <fgColor rgb="FFFFEB9C"/>
      </patternFill>
    </fill>
    <fill>
      <patternFill patternType="solid">
        <fgColor theme="9" tint="-0.249977111117893"/>
        <bgColor indexed="64"/>
      </patternFill>
    </fill>
    <fill>
      <patternFill patternType="solid">
        <fgColor rgb="FFF2F2F2"/>
      </patternFill>
    </fill>
    <fill>
      <patternFill patternType="solid">
        <fgColor theme="5" tint="0.79998168889431442"/>
        <bgColor indexed="64"/>
      </patternFill>
    </fill>
    <fill>
      <patternFill patternType="solid">
        <fgColor rgb="FF9999FF"/>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2" fillId="2" borderId="0" applyNumberFormat="0" applyBorder="0" applyAlignment="0" applyProtection="0"/>
    <xf numFmtId="0" fontId="5" fillId="4" borderId="1" applyNumberFormat="0" applyAlignment="0" applyProtection="0"/>
  </cellStyleXfs>
  <cellXfs count="23">
    <xf numFmtId="0" fontId="0" fillId="0" borderId="0" xfId="0"/>
    <xf numFmtId="49" fontId="1" fillId="0" borderId="0" xfId="0" applyNumberFormat="1" applyFont="1"/>
    <xf numFmtId="2" fontId="1" fillId="0" borderId="0" xfId="0" applyNumberFormat="1" applyFont="1"/>
    <xf numFmtId="2" fontId="0" fillId="0" borderId="0" xfId="0" applyNumberFormat="1"/>
    <xf numFmtId="164" fontId="1" fillId="0" borderId="0" xfId="0" applyNumberFormat="1" applyFont="1"/>
    <xf numFmtId="9" fontId="1" fillId="0" borderId="0" xfId="0" applyNumberFormat="1" applyFont="1"/>
    <xf numFmtId="49" fontId="3" fillId="3" borderId="0" xfId="1" applyNumberFormat="1" applyFont="1" applyFill="1"/>
    <xf numFmtId="2" fontId="3" fillId="3" borderId="0" xfId="1" applyNumberFormat="1" applyFont="1" applyFill="1"/>
    <xf numFmtId="49" fontId="4" fillId="0" borderId="0" xfId="0" applyNumberFormat="1" applyFont="1"/>
    <xf numFmtId="49" fontId="5" fillId="4" borderId="1" xfId="2" applyNumberFormat="1"/>
    <xf numFmtId="0" fontId="5" fillId="4" borderId="1" xfId="2"/>
    <xf numFmtId="164" fontId="0" fillId="0" borderId="0" xfId="0" applyNumberFormat="1"/>
    <xf numFmtId="9" fontId="0" fillId="0" borderId="0" xfId="0" applyNumberFormat="1"/>
    <xf numFmtId="0" fontId="0" fillId="5" borderId="0" xfId="0" applyFill="1"/>
    <xf numFmtId="0" fontId="0" fillId="0" borderId="0" xfId="0" pivotButton="1"/>
    <xf numFmtId="0" fontId="0" fillId="0" borderId="0" xfId="0" applyAlignment="1">
      <alignment horizontal="left"/>
    </xf>
    <xf numFmtId="0" fontId="0" fillId="6" borderId="0" xfId="0" applyFill="1"/>
    <xf numFmtId="0" fontId="6" fillId="5" borderId="0" xfId="0" applyFont="1" applyFill="1" applyAlignment="1">
      <alignment horizontal="center"/>
    </xf>
    <xf numFmtId="0" fontId="7" fillId="5" borderId="0" xfId="0" applyFont="1" applyFill="1" applyAlignment="1">
      <alignment horizontal="center"/>
    </xf>
    <xf numFmtId="0" fontId="0" fillId="0" borderId="0" xfId="0" applyAlignment="1">
      <alignment horizontal="center"/>
    </xf>
    <xf numFmtId="0" fontId="9" fillId="5" borderId="0" xfId="0" applyFont="1" applyFill="1" applyAlignment="1">
      <alignment horizontal="center" vertical="center"/>
    </xf>
    <xf numFmtId="0" fontId="10" fillId="5" borderId="0" xfId="0" applyFont="1" applyFill="1" applyAlignment="1">
      <alignment horizontal="center" vertical="center"/>
    </xf>
    <xf numFmtId="0" fontId="8" fillId="5" borderId="0" xfId="0" applyFont="1" applyFill="1" applyAlignment="1">
      <alignment horizontal="left" vertical="top" wrapText="1"/>
    </xf>
  </cellXfs>
  <cellStyles count="3">
    <cellStyle name="Calculation" xfId="2" builtinId="22"/>
    <cellStyle name="Neutral" xfId="1" builtinId="28"/>
    <cellStyle name="Normal" xfId="0" builtinId="0"/>
  </cellStyles>
  <dxfs count="15">
    <dxf>
      <font>
        <b/>
        <i/>
        <strike val="0"/>
        <condense val="0"/>
        <extend val="0"/>
        <outline val="0"/>
        <shadow val="0"/>
        <u/>
        <vertAlign val="baseline"/>
        <sz val="12"/>
        <color theme="1" tint="4.9989318521683403E-2"/>
        <name val="Calibri"/>
        <family val="2"/>
        <scheme val="minor"/>
      </font>
      <numFmt numFmtId="30" formatCode="@"/>
      <fill>
        <patternFill patternType="solid">
          <fgColor indexed="64"/>
          <bgColor theme="9" tint="-0.249977111117893"/>
        </patternFill>
      </fill>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2" formatCode="0.00"/>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30" formatCode="@"/>
    </dxf>
    <dxf>
      <font>
        <b val="0"/>
        <i val="0"/>
        <strike val="0"/>
        <condense val="0"/>
        <extend val="0"/>
        <outline val="0"/>
        <shadow val="0"/>
        <u val="none"/>
        <vertAlign val="baseline"/>
        <sz val="12"/>
        <color theme="1"/>
        <name val="Calibri"/>
        <scheme val="none"/>
      </font>
      <numFmt numFmtId="13" formatCode="0%"/>
    </dxf>
    <dxf>
      <font>
        <b val="0"/>
        <i val="0"/>
        <strike val="0"/>
        <condense val="0"/>
        <extend val="0"/>
        <outline val="0"/>
        <shadow val="0"/>
        <u val="none"/>
        <vertAlign val="baseline"/>
        <sz val="12"/>
        <color theme="1"/>
        <name val="Calibri"/>
        <scheme val="none"/>
      </font>
      <numFmt numFmtId="164" formatCode="_ [$₹-439]* #,##0.00_ ;_ [$₹-439]* \-#,##0.00_ ;_ [$₹-439]* &quot;-&quot;??_ ;_ @_ "/>
    </dxf>
    <dxf>
      <font>
        <b val="0"/>
        <i val="0"/>
        <strike val="0"/>
        <condense val="0"/>
        <extend val="0"/>
        <outline val="0"/>
        <shadow val="0"/>
        <u val="none"/>
        <vertAlign val="baseline"/>
        <sz val="12"/>
        <color theme="1"/>
        <name val="Calibri"/>
        <scheme val="none"/>
      </font>
      <numFmt numFmtId="2" formatCode="0.00"/>
    </dxf>
    <dxf>
      <font>
        <b val="0"/>
        <i val="0"/>
        <strike val="0"/>
        <condense val="0"/>
        <extend val="0"/>
        <outline val="0"/>
        <shadow val="0"/>
        <u val="none"/>
        <vertAlign val="baseline"/>
        <sz val="12"/>
        <color theme="1"/>
        <name val="Calibri"/>
        <scheme val="none"/>
      </font>
      <numFmt numFmtId="30" formatCode="@"/>
    </dxf>
  </dxfs>
  <tableStyles count="0" defaultTableStyle="TableStyleMedium2" defaultPivotStyle="PivotStyleLight16"/>
  <colors>
    <mruColors>
      <color rgb="FF000099"/>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[ONLINE_BUSINESS.xlsx]top 10 brand!PivotTable8</c:name>
    <c:fmtId val="4"/>
  </c:pivotSource>
  <c:chart>
    <c:title>
      <c:tx>
        <c:rich>
          <a:bodyPr/>
          <a:lstStyle/>
          <a:p>
            <a:pPr>
              <a:defRPr sz="1400"/>
            </a:pPr>
            <a:r>
              <a:rPr lang="en-US" sz="1400"/>
              <a:t>TOP</a:t>
            </a:r>
            <a:r>
              <a:rPr lang="en-US" sz="1400" baseline="0"/>
              <a:t> 10 BRANDS</a:t>
            </a:r>
          </a:p>
        </c:rich>
      </c:tx>
      <c:layout>
        <c:manualLayout>
          <c:xMode val="edge"/>
          <c:yMode val="edge"/>
          <c:x val="4.6186529001910046E-2"/>
          <c:y val="4.757465016191198E-2"/>
        </c:manualLayout>
      </c:layout>
      <c:overlay val="0"/>
    </c:title>
    <c:autoTitleDeleted val="0"/>
    <c:pivotFmts>
      <c:pivotFmt>
        <c:idx val="0"/>
        <c:spPr>
          <a:effectLst>
            <a:innerShdw blurRad="63500" dist="50800" dir="2700000">
              <a:prstClr val="black">
                <a:alpha val="50000"/>
              </a:prstClr>
            </a:innerShdw>
          </a:effectLst>
          <a:scene3d>
            <a:camera prst="orthographicFront"/>
            <a:lightRig rig="threePt" dir="t"/>
          </a:scene3d>
          <a:sp3d prstMaterial="dkEdge">
            <a:bevelT w="101600" prst="riblet"/>
          </a:sp3d>
        </c:spPr>
        <c:marker>
          <c:symbol val="none"/>
        </c:marker>
        <c:dLbl>
          <c:idx val="0"/>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0399836801305591E-3"/>
              <c:y val="-0.16816143497757841"/>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0799673602611207E-3"/>
              <c:y val="-0.138266068759342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0399836801305591E-3"/>
              <c:y val="-9.34230194319880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0399836801305591E-3"/>
              <c:y val="-8.594917787742890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802690582959641"/>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8.96860986547085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798537525699086E-17"/>
              <c:y val="-8.22122571001494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0399836801305591E-3"/>
              <c:y val="-0.16068759342301933"/>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0399836801305591E-3"/>
              <c:y val="-7.10014947683109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effectLst>
            <a:innerShdw blurRad="63500" dist="50800" dir="2700000">
              <a:prstClr val="black">
                <a:alpha val="50000"/>
              </a:prstClr>
            </a:innerShdw>
          </a:effectLst>
          <a:scene3d>
            <a:camera prst="orthographicFront"/>
            <a:lightRig rig="threePt" dir="t"/>
          </a:scene3d>
          <a:sp3d prstMaterial="dkEdge">
            <a:bevelT w="101600" prst="riblet"/>
          </a:sp3d>
        </c:spPr>
        <c:marker>
          <c:symbol val="none"/>
        </c:marker>
        <c:dLbl>
          <c:idx val="0"/>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4.0799673602611207E-3"/>
              <c:y val="-0.1382660687593423"/>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0399836801305591E-3"/>
              <c:y val="-9.34230194319880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0399836801305591E-3"/>
              <c:y val="-0.16816143497757841"/>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0399836801305591E-3"/>
              <c:y val="-8.594917787742890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
              <c:y val="-0.2802690582959641"/>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8.96860986547085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7.4798537525699086E-17"/>
              <c:y val="-8.22122571001494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0399836801305591E-3"/>
              <c:y val="-0.16068759342301933"/>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0399836801305591E-3"/>
              <c:y val="-7.10014947683109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spPr>
          <a:effectLst>
            <a:innerShdw blurRad="63500" dist="50800" dir="2700000">
              <a:prstClr val="black">
                <a:alpha val="50000"/>
              </a:prstClr>
            </a:innerShdw>
          </a:effectLst>
          <a:scene3d>
            <a:camera prst="orthographicFront"/>
            <a:lightRig rig="threePt" dir="t"/>
          </a:scene3d>
          <a:sp3d prstMaterial="dkEdge">
            <a:bevelT w="101600" prst="riblet"/>
          </a:sp3d>
        </c:spPr>
        <c:marker>
          <c:symbol val="none"/>
        </c:marker>
        <c:dLbl>
          <c:idx val="0"/>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4.0799673602611207E-3"/>
              <c:y val="-0.1382660687593423"/>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2.0399836801305591E-3"/>
              <c:y val="-9.3423019431988039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0399836801305591E-3"/>
              <c:y val="-0.16816143497757841"/>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2.0399836801305591E-3"/>
              <c:y val="-8.221225710014948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0399836801305591E-3"/>
              <c:y val="-8.221225710014948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2.0399836801305591E-3"/>
              <c:y val="-8.5949177877428909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
              <c:y val="-0.19569205923730718"/>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8.968609865470854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7.4798537525699086E-17"/>
              <c:y val="-8.221225710014948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0399836801305591E-3"/>
              <c:y val="-0.16068759342301933"/>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2.0399836801305591E-3"/>
              <c:y val="-7.100149476831098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9.5199501118572838E-2"/>
          <c:y val="0.18231634333655369"/>
          <c:w val="0.88127651079366187"/>
          <c:h val="0.43238205665510909"/>
        </c:manualLayout>
      </c:layout>
      <c:bar3DChart>
        <c:barDir val="col"/>
        <c:grouping val="stacked"/>
        <c:varyColors val="0"/>
        <c:ser>
          <c:idx val="0"/>
          <c:order val="0"/>
          <c:tx>
            <c:strRef>
              <c:f>'top 10 brand'!$B$3</c:f>
              <c:strCache>
                <c:ptCount val="1"/>
                <c:pt idx="0">
                  <c:v>Total</c:v>
                </c:pt>
              </c:strCache>
            </c:strRef>
          </c:tx>
          <c:spPr>
            <a:effectLst>
              <a:innerShdw blurRad="63500" dist="50800" dir="2700000">
                <a:prstClr val="black">
                  <a:alpha val="50000"/>
                </a:prstClr>
              </a:innerShdw>
            </a:effectLst>
            <a:scene3d>
              <a:camera prst="orthographicFront"/>
              <a:lightRig rig="threePt" dir="t"/>
            </a:scene3d>
            <a:sp3d prstMaterial="dkEdge">
              <a:bevelT w="101600" prst="riblet"/>
            </a:sp3d>
          </c:spPr>
          <c:invertIfNegative val="0"/>
          <c:dLbls>
            <c:dLbl>
              <c:idx val="0"/>
              <c:layout>
                <c:manualLayout>
                  <c:x val="4.0799673602611207E-3"/>
                  <c:y val="-0.13826606875934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B9-4F5A-8F97-9E1810FCA324}"/>
                </c:ext>
              </c:extLst>
            </c:dLbl>
            <c:dLbl>
              <c:idx val="1"/>
              <c:layout>
                <c:manualLayout>
                  <c:x val="2.0399836801305591E-3"/>
                  <c:y val="-9.3423019431988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B9-4F5A-8F97-9E1810FCA324}"/>
                </c:ext>
              </c:extLst>
            </c:dLbl>
            <c:dLbl>
              <c:idx val="2"/>
              <c:layout>
                <c:manualLayout>
                  <c:x val="2.0399836801305591E-3"/>
                  <c:y val="-0.16816143497757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B9-4F5A-8F97-9E1810FCA324}"/>
                </c:ext>
              </c:extLst>
            </c:dLbl>
            <c:dLbl>
              <c:idx val="3"/>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B9-4F5A-8F97-9E1810FCA324}"/>
                </c:ext>
              </c:extLst>
            </c:dLbl>
            <c:dLbl>
              <c:idx val="4"/>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B9-4F5A-8F97-9E1810FCA324}"/>
                </c:ext>
              </c:extLst>
            </c:dLbl>
            <c:dLbl>
              <c:idx val="5"/>
              <c:layout>
                <c:manualLayout>
                  <c:x val="-2.0399836801305591E-3"/>
                  <c:y val="-8.59491778774289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B9-4F5A-8F97-9E1810FCA324}"/>
                </c:ext>
              </c:extLst>
            </c:dLbl>
            <c:dLbl>
              <c:idx val="6"/>
              <c:layout>
                <c:manualLayout>
                  <c:x val="0"/>
                  <c:y val="-0.19569205923730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B9-4F5A-8F97-9E1810FCA324}"/>
                </c:ext>
              </c:extLst>
            </c:dLbl>
            <c:dLbl>
              <c:idx val="7"/>
              <c:layout>
                <c:manualLayout>
                  <c:x val="0"/>
                  <c:y val="-8.9686098654708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B9-4F5A-8F97-9E1810FCA324}"/>
                </c:ext>
              </c:extLst>
            </c:dLbl>
            <c:dLbl>
              <c:idx val="8"/>
              <c:layout>
                <c:manualLayout>
                  <c:x val="7.4798537525699086E-17"/>
                  <c:y val="-8.22122571001494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B9-4F5A-8F97-9E1810FCA324}"/>
                </c:ext>
              </c:extLst>
            </c:dLbl>
            <c:dLbl>
              <c:idx val="9"/>
              <c:layout>
                <c:manualLayout>
                  <c:x val="2.0399836801305591E-3"/>
                  <c:y val="-0.16068759342301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B9-4F5A-8F97-9E1810FCA324}"/>
                </c:ext>
              </c:extLst>
            </c:dLbl>
            <c:dLbl>
              <c:idx val="10"/>
              <c:layout>
                <c:manualLayout>
                  <c:x val="-2.0399836801305591E-3"/>
                  <c:y val="-7.1001494768310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FB9-4F5A-8F97-9E1810FCA324}"/>
                </c:ext>
              </c:extLst>
            </c:dLbl>
            <c:spPr/>
            <c:txPr>
              <a:bodyPr rot="0" vert="horz" anchor="t" anchorCtr="0"/>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brand'!$A$4:$A$15</c:f>
              <c:strCache>
                <c:ptCount val="11"/>
                <c:pt idx="0">
                  <c:v>AloGardening</c:v>
                </c:pt>
                <c:pt idx="1">
                  <c:v>AquinnahGaden</c:v>
                </c:pt>
                <c:pt idx="2">
                  <c:v>Cloud Farm</c:v>
                </c:pt>
                <c:pt idx="3">
                  <c:v>EVY</c:v>
                </c:pt>
                <c:pt idx="4">
                  <c:v>FSK</c:v>
                </c:pt>
                <c:pt idx="5">
                  <c:v>Green view</c:v>
                </c:pt>
                <c:pt idx="6">
                  <c:v>greenhousestore</c:v>
                </c:pt>
                <c:pt idx="7">
                  <c:v>LaughEarth</c:v>
                </c:pt>
                <c:pt idx="8">
                  <c:v>PLANTTOOZS</c:v>
                </c:pt>
                <c:pt idx="9">
                  <c:v>UGAOO</c:v>
                </c:pt>
                <c:pt idx="10">
                  <c:v>Ukanda</c:v>
                </c:pt>
              </c:strCache>
            </c:strRef>
          </c:cat>
          <c:val>
            <c:numRef>
              <c:f>'top 10 brand'!$B$4:$B$15</c:f>
              <c:numCache>
                <c:formatCode>General</c:formatCode>
                <c:ptCount val="11"/>
                <c:pt idx="0">
                  <c:v>17</c:v>
                </c:pt>
                <c:pt idx="1">
                  <c:v>9</c:v>
                </c:pt>
                <c:pt idx="2">
                  <c:v>28</c:v>
                </c:pt>
                <c:pt idx="3">
                  <c:v>7</c:v>
                </c:pt>
                <c:pt idx="4">
                  <c:v>7</c:v>
                </c:pt>
                <c:pt idx="5">
                  <c:v>8</c:v>
                </c:pt>
                <c:pt idx="6">
                  <c:v>53</c:v>
                </c:pt>
                <c:pt idx="7">
                  <c:v>9</c:v>
                </c:pt>
                <c:pt idx="8">
                  <c:v>6</c:v>
                </c:pt>
                <c:pt idx="9">
                  <c:v>29</c:v>
                </c:pt>
                <c:pt idx="10">
                  <c:v>6</c:v>
                </c:pt>
              </c:numCache>
            </c:numRef>
          </c:val>
          <c:extLst>
            <c:ext xmlns:c16="http://schemas.microsoft.com/office/drawing/2014/chart" uri="{C3380CC4-5D6E-409C-BE32-E72D297353CC}">
              <c16:uniqueId val="{0000000B-7FB9-4F5A-8F97-9E1810FCA324}"/>
            </c:ext>
          </c:extLst>
        </c:ser>
        <c:dLbls>
          <c:showLegendKey val="0"/>
          <c:showVal val="0"/>
          <c:showCatName val="0"/>
          <c:showSerName val="0"/>
          <c:showPercent val="0"/>
          <c:showBubbleSize val="0"/>
        </c:dLbls>
        <c:gapWidth val="150"/>
        <c:shape val="box"/>
        <c:axId val="214470656"/>
        <c:axId val="214472192"/>
        <c:axId val="0"/>
      </c:bar3DChart>
      <c:catAx>
        <c:axId val="214470656"/>
        <c:scaling>
          <c:orientation val="minMax"/>
        </c:scaling>
        <c:delete val="0"/>
        <c:axPos val="b"/>
        <c:numFmt formatCode="General" sourceLinked="0"/>
        <c:majorTickMark val="out"/>
        <c:minorTickMark val="none"/>
        <c:tickLblPos val="nextTo"/>
        <c:spPr>
          <a:ln cap="sq" cmpd="dbl">
            <a:round/>
          </a:ln>
        </c:spPr>
        <c:txPr>
          <a:bodyPr/>
          <a:lstStyle/>
          <a:p>
            <a:pPr>
              <a:defRPr b="1"/>
            </a:pPr>
            <a:endParaRPr lang="en-US"/>
          </a:p>
        </c:txPr>
        <c:crossAx val="214472192"/>
        <c:crosses val="autoZero"/>
        <c:auto val="1"/>
        <c:lblAlgn val="ctr"/>
        <c:lblOffset val="100"/>
        <c:noMultiLvlLbl val="0"/>
      </c:catAx>
      <c:valAx>
        <c:axId val="214472192"/>
        <c:scaling>
          <c:orientation val="minMax"/>
        </c:scaling>
        <c:delete val="0"/>
        <c:axPos val="l"/>
        <c:majorGridlines/>
        <c:numFmt formatCode="General" sourceLinked="1"/>
        <c:majorTickMark val="out"/>
        <c:minorTickMark val="none"/>
        <c:tickLblPos val="nextTo"/>
        <c:crossAx val="214470656"/>
        <c:crosses val="autoZero"/>
        <c:crossBetween val="between"/>
      </c:valAx>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prstMaterial="metal">
      <a:bevelT w="101600" prst="riblet"/>
      <a:bevelB w="101600" prst="riblet"/>
    </a:sp3d>
  </c:spPr>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[ONLINE_BUSINESS.xlsx]hybride chart by count!PivotTable7</c:name>
    <c:fmtId val="2"/>
  </c:pivotSource>
  <c:chart>
    <c:title>
      <c:tx>
        <c:rich>
          <a:bodyPr/>
          <a:lstStyle/>
          <a:p>
            <a:pPr>
              <a:defRPr sz="1600"/>
            </a:pPr>
            <a:r>
              <a:rPr lang="en-US" sz="1600"/>
              <a:t>hybrid</a:t>
            </a:r>
            <a:r>
              <a:rPr lang="en-US" sz="1600" baseline="0"/>
              <a:t> by </a:t>
            </a:r>
            <a:r>
              <a:rPr lang="en-US" sz="1400" baseline="0"/>
              <a:t>count</a:t>
            </a:r>
            <a:endParaRPr lang="en-US" sz="1400"/>
          </a:p>
        </c:rich>
      </c:tx>
      <c:overlay val="0"/>
    </c:title>
    <c:autoTitleDeleted val="0"/>
    <c:pivotFmts>
      <c:pivotFmt>
        <c:idx val="0"/>
        <c:spPr>
          <a:scene3d>
            <a:camera prst="orthographicFront"/>
            <a:lightRig rig="threePt" dir="t"/>
          </a:scene3d>
          <a:sp3d prstMaterial="dkEdge">
            <a:bevelT prst="convex"/>
            <a:bevelB w="152400" h="50800" prst="softRound"/>
          </a:sp3d>
        </c:spPr>
        <c:marker>
          <c:symbol val="none"/>
        </c:marker>
        <c:dLbl>
          <c:idx val="0"/>
          <c:spPr/>
          <c:txPr>
            <a:bodyPr/>
            <a:lstStyle/>
            <a:p>
              <a:pPr>
                <a:defRPr sz="105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cene3d>
            <a:camera prst="orthographicFront"/>
            <a:lightRig rig="morning" dir="t"/>
          </a:scene3d>
          <a:sp3d prstMaterial="metal">
            <a:bevelT prst="relaxedInset"/>
            <a:bevelB w="152400" h="50800" prst="softRound"/>
          </a:sp3d>
        </c:spPr>
        <c:dLbl>
          <c:idx val="0"/>
          <c:layout>
            <c:manualLayout>
              <c:x val="7.7431086765351681E-2"/>
              <c:y val="-0.20722476155728556"/>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1360950827966387E-2"/>
              <c:y val="0.160834634899015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spPr>
          <a:scene3d>
            <a:camera prst="orthographicFront"/>
            <a:lightRig rig="threePt" dir="t"/>
          </a:scene3d>
          <a:sp3d prstMaterial="dkEdge">
            <a:bevelT prst="convex"/>
            <a:bevelB w="152400" h="50800" prst="softRound"/>
          </a:sp3d>
        </c:spPr>
        <c:marker>
          <c:symbol val="none"/>
        </c:marker>
        <c:dLbl>
          <c:idx val="0"/>
          <c:spPr/>
          <c:txPr>
            <a:bodyPr/>
            <a:lstStyle/>
            <a:p>
              <a:pPr>
                <a:defRPr sz="105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1360950827966387E-2"/>
              <c:y val="0.160834634899015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cene3d>
            <a:camera prst="orthographicFront"/>
            <a:lightRig rig="morning" dir="t"/>
          </a:scene3d>
          <a:sp3d prstMaterial="metal">
            <a:bevelT prst="relaxedInset"/>
            <a:bevelB w="152400" h="50800" prst="softRound"/>
          </a:sp3d>
        </c:spPr>
        <c:dLbl>
          <c:idx val="0"/>
          <c:layout>
            <c:manualLayout>
              <c:x val="7.7431086765351681E-2"/>
              <c:y val="-0.20722476155728556"/>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cene3d>
            <a:camera prst="orthographicFront"/>
            <a:lightRig rig="threePt" dir="t"/>
          </a:scene3d>
          <a:sp3d prstMaterial="dkEdge">
            <a:bevelT prst="convex"/>
            <a:bevelB w="152400" h="50800" prst="softRound"/>
          </a:sp3d>
        </c:spPr>
        <c:marker>
          <c:symbol val="none"/>
        </c:marker>
        <c:dLbl>
          <c:idx val="0"/>
          <c:spPr/>
          <c:txPr>
            <a:bodyPr/>
            <a:lstStyle/>
            <a:p>
              <a:pPr>
                <a:defRPr sz="120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6017999181708936E-2"/>
              <c:y val="-2.4797625939267542E-2"/>
            </c:manualLayout>
          </c:layout>
          <c:spPr/>
          <c:txPr>
            <a:bodyPr/>
            <a:lstStyle/>
            <a:p>
              <a:pPr>
                <a:defRPr sz="120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cene3d>
            <a:camera prst="orthographicFront"/>
            <a:lightRig rig="morning" dir="t"/>
          </a:scene3d>
          <a:sp3d prstMaterial="metal">
            <a:bevelT prst="relaxedInset"/>
            <a:bevelB w="152400" h="50800" prst="softRound"/>
          </a:sp3d>
        </c:spPr>
        <c:dLbl>
          <c:idx val="0"/>
          <c:layout>
            <c:manualLayout>
              <c:x val="-9.5122308740572745E-3"/>
              <c:y val="-3.1362834717753335E-2"/>
            </c:manualLayout>
          </c:layout>
          <c:spPr/>
          <c:txPr>
            <a:bodyPr/>
            <a:lstStyle/>
            <a:p>
              <a:pPr>
                <a:defRPr sz="120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2020997375315"/>
          <c:y val="0.19895851560221639"/>
          <c:w val="0.45284711286089241"/>
          <c:h val="0.75474518810148783"/>
        </c:manualLayout>
      </c:layout>
      <c:pieChart>
        <c:varyColors val="1"/>
        <c:ser>
          <c:idx val="0"/>
          <c:order val="0"/>
          <c:tx>
            <c:strRef>
              <c:f>'hybride chart by count'!$B$3</c:f>
              <c:strCache>
                <c:ptCount val="1"/>
                <c:pt idx="0">
                  <c:v>Total</c:v>
                </c:pt>
              </c:strCache>
            </c:strRef>
          </c:tx>
          <c:spPr>
            <a:scene3d>
              <a:camera prst="orthographicFront"/>
              <a:lightRig rig="threePt" dir="t"/>
            </a:scene3d>
            <a:sp3d prstMaterial="dkEdge">
              <a:bevelT prst="convex"/>
              <a:bevelB w="152400" h="50800" prst="softRound"/>
            </a:sp3d>
          </c:spPr>
          <c:dPt>
            <c:idx val="1"/>
            <c:bubble3D val="0"/>
            <c:spPr>
              <a:scene3d>
                <a:camera prst="orthographicFront"/>
                <a:lightRig rig="morning" dir="t"/>
              </a:scene3d>
              <a:sp3d prstMaterial="metal">
                <a:bevelT prst="relaxedInset"/>
                <a:bevelB w="152400" h="50800" prst="softRound"/>
              </a:sp3d>
            </c:spPr>
            <c:extLst>
              <c:ext xmlns:c16="http://schemas.microsoft.com/office/drawing/2014/chart" uri="{C3380CC4-5D6E-409C-BE32-E72D297353CC}">
                <c16:uniqueId val="{00000000-AF1A-4941-A2A4-AE903B155EC4}"/>
              </c:ext>
            </c:extLst>
          </c:dPt>
          <c:dLbls>
            <c:dLbl>
              <c:idx val="0"/>
              <c:layout>
                <c:manualLayout>
                  <c:x val="-4.6017999181708936E-2"/>
                  <c:y val="-2.4797625939267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1A-4941-A2A4-AE903B155EC4}"/>
                </c:ext>
              </c:extLst>
            </c:dLbl>
            <c:dLbl>
              <c:idx val="1"/>
              <c:layout>
                <c:manualLayout>
                  <c:x val="-9.5122308740572745E-3"/>
                  <c:y val="-3.1362834717753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1A-4941-A2A4-AE903B155EC4}"/>
                </c:ext>
              </c:extLst>
            </c:dLbl>
            <c:spPr/>
            <c:txPr>
              <a:bodyPr/>
              <a:lstStyle/>
              <a:p>
                <a:pPr>
                  <a:defRPr sz="1200" b="1"/>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'hybride chart by count'!$A$4:$A$6</c:f>
              <c:strCache>
                <c:ptCount val="2"/>
                <c:pt idx="0">
                  <c:v>No</c:v>
                </c:pt>
                <c:pt idx="1">
                  <c:v>Yes</c:v>
                </c:pt>
              </c:strCache>
            </c:strRef>
          </c:cat>
          <c:val>
            <c:numRef>
              <c:f>'hybride chart by count'!$B$4:$B$6</c:f>
              <c:numCache>
                <c:formatCode>General</c:formatCode>
                <c:ptCount val="2"/>
                <c:pt idx="0">
                  <c:v>69</c:v>
                </c:pt>
                <c:pt idx="1">
                  <c:v>331</c:v>
                </c:pt>
              </c:numCache>
            </c:numRef>
          </c:val>
          <c:extLst>
            <c:ext xmlns:c16="http://schemas.microsoft.com/office/drawing/2014/chart" uri="{C3380CC4-5D6E-409C-BE32-E72D297353CC}">
              <c16:uniqueId val="{00000002-AF1A-4941-A2A4-AE903B155EC4}"/>
            </c:ext>
          </c:extLst>
        </c:ser>
        <c:dLbls>
          <c:showLegendKey val="0"/>
          <c:showVal val="0"/>
          <c:showCatName val="0"/>
          <c:showSerName val="0"/>
          <c:showPercent val="0"/>
          <c:showBubbleSize val="0"/>
          <c:showLeaderLines val="1"/>
        </c:dLbls>
        <c:firstSliceAng val="0"/>
      </c:pieChart>
    </c:plotArea>
    <c:legend>
      <c:legendPos val="r"/>
      <c:overlay val="0"/>
      <c:txPr>
        <a:bodyPr/>
        <a:lstStyle/>
        <a:p>
          <a:pPr>
            <a:defRPr sz="1050"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a:bevelT/>
      <a:bevelB prst="relaxedInset"/>
    </a:sp3d>
  </c:spPr>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[ONLINE_BUSINESS.xlsx]plant size chart by count!PivotTable1</c:name>
    <c:fmtId val="5"/>
  </c:pivotSource>
  <c:chart>
    <c:title>
      <c:tx>
        <c:rich>
          <a:bodyPr/>
          <a:lstStyle/>
          <a:p>
            <a:pPr>
              <a:defRPr sz="1400"/>
            </a:pPr>
            <a:r>
              <a:rPr lang="en-US" sz="1400"/>
              <a:t>PLANT</a:t>
            </a:r>
            <a:r>
              <a:rPr lang="en-US" sz="1400" baseline="0"/>
              <a:t> SIZE BY COUNT</a:t>
            </a:r>
            <a:endParaRPr lang="en-US" sz="1400"/>
          </a:p>
        </c:rich>
      </c:tx>
      <c:layout>
        <c:manualLayout>
          <c:xMode val="edge"/>
          <c:yMode val="edge"/>
          <c:x val="0.27408552023780541"/>
          <c:y val="5.6925996204933584E-2"/>
        </c:manualLayout>
      </c:layout>
      <c:overlay val="0"/>
    </c:title>
    <c:autoTitleDeleted val="0"/>
    <c:pivotFmts>
      <c:pivotFmt>
        <c:idx val="0"/>
        <c:spPr>
          <a:effectLst>
            <a:innerShdw blurRad="114300">
              <a:prstClr val="black">
                <a:alpha val="95000"/>
              </a:prstClr>
            </a:innerShdw>
          </a:effectLst>
          <a:scene3d>
            <a:camera prst="orthographicFront"/>
            <a:lightRig rig="twoPt" dir="t"/>
          </a:scene3d>
          <a:sp3d prstMaterial="dkEdge">
            <a:bevelT w="152400" h="50800" prst="softRound"/>
            <a:bevelB w="152400" h="50800" prst="softRound"/>
          </a:sp3d>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
        <c:spPr>
          <a:effectLst>
            <a:innerShdw blurRad="114300">
              <a:prstClr val="black">
                <a:alpha val="95000"/>
              </a:prstClr>
            </a:innerShdw>
          </a:effectLst>
          <a:scene3d>
            <a:camera prst="orthographicFront"/>
            <a:lightRig rig="twoPt" dir="t"/>
          </a:scene3d>
          <a:sp3d prstMaterial="dkEdge">
            <a:bevelT w="152400" h="50800" prst="softRound"/>
            <a:bevelB w="152400" h="50800" prst="softRound"/>
          </a:sp3d>
        </c:spPr>
        <c:marker>
          <c:symbol val="none"/>
        </c:marker>
        <c:dLbl>
          <c:idx val="0"/>
          <c:spPr/>
          <c:txPr>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effectLst>
            <a:innerShdw blurRad="114300">
              <a:prstClr val="black">
                <a:alpha val="95000"/>
              </a:prstClr>
            </a:innerShdw>
          </a:effectLst>
          <a:scene3d>
            <a:camera prst="orthographicFront"/>
            <a:lightRig rig="twoPt" dir="t"/>
          </a:scene3d>
          <a:sp3d prstMaterial="dkEdge">
            <a:bevelT w="152400" h="50800" prst="softRound"/>
            <a:bevelB w="152400" h="50800" prst="softRound"/>
          </a:sp3d>
        </c:spPr>
        <c:marker>
          <c:symbol val="none"/>
        </c:marker>
        <c:dLbl>
          <c:idx val="0"/>
          <c:spPr/>
          <c:txPr>
            <a:bodyPr/>
            <a:lstStyle/>
            <a:p>
              <a:pPr>
                <a:defRPr sz="1100" b="1"/>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layout>
            <c:manualLayout>
              <c:x val="2.8173910468290098E-2"/>
              <c:y val="5.8349947471467455E-2"/>
            </c:manualLayout>
          </c:layout>
          <c:spPr/>
          <c:txPr>
            <a:bodyPr/>
            <a:lstStyle/>
            <a:p>
              <a:pPr>
                <a:defRPr sz="1100" b="1"/>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'plant size chart by count'!$B$3</c:f>
              <c:strCache>
                <c:ptCount val="1"/>
                <c:pt idx="0">
                  <c:v>Total</c:v>
                </c:pt>
              </c:strCache>
            </c:strRef>
          </c:tx>
          <c:spPr>
            <a:effectLst>
              <a:innerShdw blurRad="114300">
                <a:prstClr val="black">
                  <a:alpha val="95000"/>
                </a:prstClr>
              </a:innerShdw>
            </a:effectLst>
            <a:scene3d>
              <a:camera prst="orthographicFront"/>
              <a:lightRig rig="twoPt" dir="t"/>
            </a:scene3d>
            <a:sp3d prstMaterial="dkEdge">
              <a:bevelT w="152400" h="50800" prst="softRound"/>
              <a:bevelB w="152400" h="50800" prst="softRound"/>
            </a:sp3d>
          </c:spPr>
          <c:explosion val="10"/>
          <c:dLbls>
            <c:dLbl>
              <c:idx val="0"/>
              <c:layout>
                <c:manualLayout>
                  <c:x val="2.8173910468290098E-2"/>
                  <c:y val="5.834994747146745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498D-4CD7-90DD-D29D4741BAB6}"/>
                </c:ext>
              </c:extLst>
            </c:dLbl>
            <c:spPr/>
            <c:txPr>
              <a:bodyPr/>
              <a:lstStyle/>
              <a:p>
                <a:pPr>
                  <a:defRPr sz="1100" b="1"/>
                </a:pPr>
                <a:endParaRPr lang="en-US"/>
              </a:p>
            </c:txPr>
            <c:showLegendKey val="0"/>
            <c:showVal val="1"/>
            <c:showCatName val="1"/>
            <c:showSerName val="0"/>
            <c:showPercent val="1"/>
            <c:showBubbleSize val="0"/>
            <c:showLeaderLines val="1"/>
            <c:extLst>
              <c:ext xmlns:c15="http://schemas.microsoft.com/office/drawing/2012/chart" uri="{CE6537A1-D6FC-4f65-9D91-7224C49458BB}"/>
            </c:extLst>
          </c:dLbls>
          <c:cat>
            <c:strRef>
              <c:f>'plant size chart by count'!$A$4:$A$7</c:f>
              <c:strCache>
                <c:ptCount val="3"/>
                <c:pt idx="0">
                  <c:v>Large</c:v>
                </c:pt>
                <c:pt idx="1">
                  <c:v>Medium</c:v>
                </c:pt>
                <c:pt idx="2">
                  <c:v>Small</c:v>
                </c:pt>
              </c:strCache>
            </c:strRef>
          </c:cat>
          <c:val>
            <c:numRef>
              <c:f>'plant size chart by count'!$B$4:$B$7</c:f>
              <c:numCache>
                <c:formatCode>General</c:formatCode>
                <c:ptCount val="3"/>
                <c:pt idx="0">
                  <c:v>1</c:v>
                </c:pt>
                <c:pt idx="1">
                  <c:v>96</c:v>
                </c:pt>
                <c:pt idx="2">
                  <c:v>303</c:v>
                </c:pt>
              </c:numCache>
            </c:numRef>
          </c:val>
          <c:extLst>
            <c:ext xmlns:c16="http://schemas.microsoft.com/office/drawing/2014/chart" uri="{C3380CC4-5D6E-409C-BE32-E72D297353CC}">
              <c16:uniqueId val="{00000001-498D-4CD7-90DD-D29D4741BAB6}"/>
            </c:ext>
          </c:extLst>
        </c:ser>
        <c:dLbls>
          <c:showLegendKey val="0"/>
          <c:showVal val="0"/>
          <c:showCatName val="0"/>
          <c:showSerName val="0"/>
          <c:showPercent val="0"/>
          <c:showBubbleSize val="0"/>
          <c:showLeaderLines val="1"/>
        </c:dLbls>
        <c:firstSliceAng val="40"/>
      </c:pieChart>
    </c:plotArea>
    <c:legend>
      <c:legendPos val="r"/>
      <c:layout>
        <c:manualLayout>
          <c:xMode val="edge"/>
          <c:yMode val="edge"/>
          <c:x val="0.72907518340525856"/>
          <c:y val="0.71688426710758801"/>
          <c:w val="0.20232843624113092"/>
          <c:h val="0.24898973895868651"/>
        </c:manualLayout>
      </c:layout>
      <c:overlay val="0"/>
      <c:txPr>
        <a:bodyPr/>
        <a:lstStyle/>
        <a:p>
          <a:pPr>
            <a:defRPr sz="1000"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chilly" dir="t"/>
    </a:scene3d>
    <a:sp3d prstMaterial="matte">
      <a:bevelT w="139700" h="139700" prst="divot"/>
      <a:bevelB w="139700" h="139700" prst="divot"/>
    </a:sp3d>
  </c:spPr>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[ONLINE_BUSINESS.xlsx]plant type chart by count!PivotTable3</c:name>
    <c:fmtId val="2"/>
  </c:pivotSource>
  <c:chart>
    <c:title>
      <c:tx>
        <c:rich>
          <a:bodyPr/>
          <a:lstStyle/>
          <a:p>
            <a:pPr>
              <a:defRPr sz="1400"/>
            </a:pPr>
            <a:r>
              <a:rPr lang="en-US" sz="1400"/>
              <a:t>TYPES</a:t>
            </a:r>
            <a:r>
              <a:rPr lang="en-US" sz="1400" baseline="0"/>
              <a:t> OF PLANT AND THEIR COUNT</a:t>
            </a:r>
            <a:endParaRPr lang="en-US" sz="1400"/>
          </a:p>
        </c:rich>
      </c:tx>
      <c:layout>
        <c:manualLayout>
          <c:xMode val="edge"/>
          <c:yMode val="edge"/>
          <c:x val="0.2717645349792755"/>
          <c:y val="5.9378327611740542E-2"/>
        </c:manualLayout>
      </c:layout>
      <c:overlay val="0"/>
    </c:title>
    <c:autoTitleDeleted val="0"/>
    <c:pivotFmts>
      <c:pivotFmt>
        <c:idx val="0"/>
        <c:spPr>
          <a:effectLst>
            <a:innerShdw blurRad="114300">
              <a:prstClr val="black">
                <a:alpha val="98000"/>
              </a:prstClr>
            </a:innerShdw>
          </a:effectLst>
          <a:scene3d>
            <a:camera prst="orthographicFront"/>
            <a:lightRig rig="threePt" dir="t"/>
          </a:scene3d>
          <a:sp3d prstMaterial="dkEdge">
            <a:bevelT prst="angle"/>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6.869772998805256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3500837520938046E-3"/>
              <c:y val="-0.1284348864994027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9.557945041816012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6750418760469029E-3"/>
              <c:y val="-0.24492234169653529"/>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025125628140701E-3"/>
              <c:y val="-0.11947431302270008"/>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5.07765830346475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6750418760469029E-3"/>
              <c:y val="-0.2986857825567503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14635603345280776"/>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8.363201911589017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6750418760469029E-3"/>
              <c:y val="-9.557945041816012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6.272401433691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3500837520938046E-3"/>
              <c:y val="-5.67502986857825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spPr>
          <a:effectLst>
            <a:innerShdw blurRad="114300">
              <a:prstClr val="black">
                <a:alpha val="98000"/>
              </a:prstClr>
            </a:innerShdw>
          </a:effectLst>
          <a:scene3d>
            <a:camera prst="orthographicFront"/>
            <a:lightRig rig="threePt" dir="t"/>
          </a:scene3d>
          <a:sp3d prstMaterial="dkEdge">
            <a:bevelT prst="angle"/>
          </a:sp3d>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6.869772998805256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3500837520938046E-3"/>
              <c:y val="-0.12843488649940277"/>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9.557945041816012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5.07765830346475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6750418760469029E-3"/>
              <c:y val="-0.24492234169653529"/>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5.025125628140701E-3"/>
              <c:y val="-0.11947431302270008"/>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6750418760469029E-3"/>
              <c:y val="-0.2986857825567503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0.14635603345280776"/>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8.363201911589017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6750418760469029E-3"/>
              <c:y val="-9.557945041816012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6.272401433691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3.3500837520938046E-3"/>
              <c:y val="-5.67502986857825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spPr>
          <a:effectLst>
            <a:innerShdw blurRad="114300">
              <a:prstClr val="black">
                <a:alpha val="98000"/>
              </a:prstClr>
            </a:innerShdw>
          </a:effectLst>
          <a:scene3d>
            <a:camera prst="orthographicFront"/>
            <a:lightRig rig="threePt" dir="t"/>
          </a:scene3d>
          <a:sp3d prstMaterial="dkEdge">
            <a:bevelT prst="angle"/>
          </a:sp3d>
        </c:spPr>
        <c:marker>
          <c:symbol val="none"/>
        </c:marker>
        <c:dLbl>
          <c:idx val="0"/>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
              <c:y val="-6.8697729988052569E-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3.3500837520938046E-3"/>
              <c:y val="-0.12843488649940277"/>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
              <c:y val="-9.5579450418160128E-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
              <c:y val="-5.077658303464759E-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3.7114285320442334E-3"/>
              <c:y val="-0.16575125078265235"/>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5.025125628140701E-3"/>
              <c:y val="-0.11947431302270008"/>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6.4047113362818067E-3"/>
              <c:y val="-0.170032802240168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
              <c:y val="-0.14635603345280776"/>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8.3632019115890174E-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1.6750418760469029E-3"/>
              <c:y val="-9.5579450418160128E-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
              <c:y val="-6.27240143369176E-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3.3500837520938046E-3"/>
              <c:y val="-5.6750298685782546E-2"/>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'plant type chart by count'!$B$3</c:f>
              <c:strCache>
                <c:ptCount val="1"/>
                <c:pt idx="0">
                  <c:v>Total</c:v>
                </c:pt>
              </c:strCache>
            </c:strRef>
          </c:tx>
          <c:spPr>
            <a:effectLst>
              <a:innerShdw blurRad="114300">
                <a:prstClr val="black">
                  <a:alpha val="98000"/>
                </a:prstClr>
              </a:innerShdw>
            </a:effectLst>
            <a:scene3d>
              <a:camera prst="orthographicFront"/>
              <a:lightRig rig="threePt" dir="t"/>
            </a:scene3d>
            <a:sp3d prstMaterial="dkEdge">
              <a:bevelT prst="angle"/>
            </a:sp3d>
          </c:spPr>
          <c:invertIfNegative val="0"/>
          <c:dLbls>
            <c:dLbl>
              <c:idx val="0"/>
              <c:layout>
                <c:manualLayout>
                  <c:x val="0"/>
                  <c:y val="-6.8697729988052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CF-4100-844E-694EFE927201}"/>
                </c:ext>
              </c:extLst>
            </c:dLbl>
            <c:dLbl>
              <c:idx val="1"/>
              <c:layout>
                <c:manualLayout>
                  <c:x val="3.3500837520938046E-3"/>
                  <c:y val="-0.128434886499402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CF-4100-844E-694EFE927201}"/>
                </c:ext>
              </c:extLst>
            </c:dLbl>
            <c:dLbl>
              <c:idx val="2"/>
              <c:layout>
                <c:manualLayout>
                  <c:x val="0"/>
                  <c:y val="-9.5579450418160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CF-4100-844E-694EFE927201}"/>
                </c:ext>
              </c:extLst>
            </c:dLbl>
            <c:dLbl>
              <c:idx val="3"/>
              <c:layout>
                <c:manualLayout>
                  <c:x val="0"/>
                  <c:y val="-5.077658303464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CF-4100-844E-694EFE927201}"/>
                </c:ext>
              </c:extLst>
            </c:dLbl>
            <c:dLbl>
              <c:idx val="4"/>
              <c:layout>
                <c:manualLayout>
                  <c:x val="3.7114285320442334E-3"/>
                  <c:y val="-0.165751250782652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CF-4100-844E-694EFE927201}"/>
                </c:ext>
              </c:extLst>
            </c:dLbl>
            <c:dLbl>
              <c:idx val="5"/>
              <c:layout>
                <c:manualLayout>
                  <c:x val="5.025125628140701E-3"/>
                  <c:y val="-0.1194743130227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CF-4100-844E-694EFE927201}"/>
                </c:ext>
              </c:extLst>
            </c:dLbl>
            <c:dLbl>
              <c:idx val="6"/>
              <c:layout>
                <c:manualLayout>
                  <c:x val="-6.4047113362818067E-3"/>
                  <c:y val="-0.17003280224016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CF-4100-844E-694EFE927201}"/>
                </c:ext>
              </c:extLst>
            </c:dLbl>
            <c:dLbl>
              <c:idx val="7"/>
              <c:layout>
                <c:manualLayout>
                  <c:x val="0"/>
                  <c:y val="-0.146356033452807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CF-4100-844E-694EFE927201}"/>
                </c:ext>
              </c:extLst>
            </c:dLbl>
            <c:dLbl>
              <c:idx val="8"/>
              <c:layout>
                <c:manualLayout>
                  <c:x val="0"/>
                  <c:y val="-8.3632019115890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2CF-4100-844E-694EFE927201}"/>
                </c:ext>
              </c:extLst>
            </c:dLbl>
            <c:dLbl>
              <c:idx val="9"/>
              <c:layout>
                <c:manualLayout>
                  <c:x val="1.6750418760469029E-3"/>
                  <c:y val="-9.5579450418160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2CF-4100-844E-694EFE927201}"/>
                </c:ext>
              </c:extLst>
            </c:dLbl>
            <c:dLbl>
              <c:idx val="10"/>
              <c:layout>
                <c:manualLayout>
                  <c:x val="0"/>
                  <c:y val="-6.27240143369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2CF-4100-844E-694EFE927201}"/>
                </c:ext>
              </c:extLst>
            </c:dLbl>
            <c:dLbl>
              <c:idx val="11"/>
              <c:layout>
                <c:manualLayout>
                  <c:x val="3.3500837520938046E-3"/>
                  <c:y val="-5.6750298685782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2CF-4100-844E-694EFE927201}"/>
                </c:ext>
              </c:extLst>
            </c:dLbl>
            <c:spPr/>
            <c:txPr>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'plant type chart by count'!$A$4:$A$16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'plant type chart by count'!$B$4:$B$16</c:f>
              <c:numCache>
                <c:formatCode>General</c:formatCode>
                <c:ptCount val="12"/>
                <c:pt idx="0">
                  <c:v>11</c:v>
                </c:pt>
                <c:pt idx="1">
                  <c:v>38</c:v>
                </c:pt>
                <c:pt idx="2">
                  <c:v>19</c:v>
                </c:pt>
                <c:pt idx="3">
                  <c:v>2</c:v>
                </c:pt>
                <c:pt idx="4">
                  <c:v>86</c:v>
                </c:pt>
                <c:pt idx="5">
                  <c:v>31</c:v>
                </c:pt>
                <c:pt idx="6">
                  <c:v>112</c:v>
                </c:pt>
                <c:pt idx="7">
                  <c:v>45</c:v>
                </c:pt>
                <c:pt idx="8">
                  <c:v>19</c:v>
                </c:pt>
                <c:pt idx="9">
                  <c:v>26</c:v>
                </c:pt>
                <c:pt idx="10">
                  <c:v>10</c:v>
                </c:pt>
                <c:pt idx="11">
                  <c:v>1</c:v>
                </c:pt>
              </c:numCache>
            </c:numRef>
          </c:val>
          <c:extLst>
            <c:ext xmlns:c16="http://schemas.microsoft.com/office/drawing/2014/chart" uri="{C3380CC4-5D6E-409C-BE32-E72D297353CC}">
              <c16:uniqueId val="{0000000C-02CF-4100-844E-694EFE927201}"/>
            </c:ext>
          </c:extLst>
        </c:ser>
        <c:dLbls>
          <c:showLegendKey val="0"/>
          <c:showVal val="0"/>
          <c:showCatName val="0"/>
          <c:showSerName val="0"/>
          <c:showPercent val="0"/>
          <c:showBubbleSize val="0"/>
        </c:dLbls>
        <c:gapWidth val="150"/>
        <c:shape val="cylinder"/>
        <c:axId val="163583872"/>
        <c:axId val="173125632"/>
        <c:axId val="0"/>
      </c:bar3DChart>
      <c:catAx>
        <c:axId val="163583872"/>
        <c:scaling>
          <c:orientation val="minMax"/>
        </c:scaling>
        <c:delete val="0"/>
        <c:axPos val="b"/>
        <c:minorGridlines/>
        <c:numFmt formatCode="General" sourceLinked="0"/>
        <c:majorTickMark val="out"/>
        <c:minorTickMark val="none"/>
        <c:tickLblPos val="nextTo"/>
        <c:txPr>
          <a:bodyPr anchor="t" anchorCtr="0"/>
          <a:lstStyle/>
          <a:p>
            <a:pPr>
              <a:defRPr sz="1000" b="1" i="0"/>
            </a:pPr>
            <a:endParaRPr lang="en-US"/>
          </a:p>
        </c:txPr>
        <c:crossAx val="173125632"/>
        <c:crosses val="autoZero"/>
        <c:auto val="1"/>
        <c:lblAlgn val="r"/>
        <c:lblOffset val="100"/>
        <c:noMultiLvlLbl val="0"/>
      </c:catAx>
      <c:valAx>
        <c:axId val="173125632"/>
        <c:scaling>
          <c:orientation val="minMax"/>
        </c:scaling>
        <c:delete val="0"/>
        <c:axPos val="l"/>
        <c:majorGridlines/>
        <c:numFmt formatCode="General" sourceLinked="1"/>
        <c:majorTickMark val="out"/>
        <c:minorTickMark val="none"/>
        <c:tickLblPos val="nextTo"/>
        <c:txPr>
          <a:bodyPr anchor="t" anchorCtr="0"/>
          <a:lstStyle/>
          <a:p>
            <a:pPr>
              <a:defRPr b="1"/>
            </a:pPr>
            <a:endParaRPr lang="en-US"/>
          </a:p>
        </c:txPr>
        <c:crossAx val="163583872"/>
        <c:crosses val="autoZero"/>
        <c:crossBetween val="between"/>
      </c:valAx>
      <c:spPr>
        <a:noFill/>
      </c:spPr>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prstMaterial="dkEdge">
      <a:bevelT prst="relaxedInset"/>
      <a:bevelB prst="relaxedInset"/>
    </a:sp3d>
  </c:spPr>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[ONLINE_BUSINESS.xlsx]life cycle chart by count!PivotTable4</c:name>
    <c:fmtId val="2"/>
  </c:pivotSource>
  <c:chart>
    <c:title>
      <c:tx>
        <c:rich>
          <a:bodyPr/>
          <a:lstStyle/>
          <a:p>
            <a:pPr>
              <a:defRPr sz="1400"/>
            </a:pPr>
            <a:r>
              <a:rPr lang="en-US" sz="1400"/>
              <a:t>LIFECYCLE</a:t>
            </a:r>
            <a:r>
              <a:rPr lang="en-US" sz="1400" baseline="0"/>
              <a:t> BY COUNT</a:t>
            </a:r>
            <a:endParaRPr lang="en-US" sz="1400"/>
          </a:p>
        </c:rich>
      </c:tx>
      <c:layout>
        <c:manualLayout>
          <c:xMode val="edge"/>
          <c:yMode val="edge"/>
          <c:x val="0.24446472019464721"/>
          <c:y val="7.130124777183601E-2"/>
        </c:manualLayout>
      </c:layout>
      <c:overlay val="0"/>
    </c:title>
    <c:autoTitleDeleted val="0"/>
    <c:pivotFmts>
      <c:pivotFmt>
        <c:idx val="0"/>
        <c:spPr>
          <a:scene3d>
            <a:camera prst="orthographicFront"/>
            <a:lightRig rig="twoPt" dir="t"/>
          </a:scene3d>
          <a:sp3d prstMaterial="dkEdge">
            <a:bevelT/>
            <a:bevelB prst="convex"/>
          </a:sp3d>
        </c:spPr>
        <c:marker>
          <c:symbol val="none"/>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1.8477457501847752E-3"/>
              <c:y val="-2.9239766081871378E-3"/>
            </c:manualLayout>
          </c:layout>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spPr>
          <a:scene3d>
            <a:camera prst="orthographicFront"/>
            <a:lightRig rig="twoPt" dir="t"/>
          </a:scene3d>
          <a:sp3d prstMaterial="dkEdge">
            <a:bevelT/>
            <a:bevelB prst="convex"/>
          </a:sp3d>
        </c:spPr>
        <c:marker>
          <c:symbol val="none"/>
        </c:marker>
        <c:dLbl>
          <c:idx val="0"/>
          <c:spPr/>
          <c:txPr>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dLbl>
          <c:idx val="0"/>
          <c:layout>
            <c:manualLayout>
              <c:x val="1.8477457501847752E-3"/>
              <c:y val="-2.9239766081871378E-3"/>
            </c:manualLayout>
          </c:layout>
          <c:showLegendKey val="0"/>
          <c:showVal val="1"/>
          <c:showCatName val="1"/>
          <c:showSerName val="0"/>
          <c:showPercent val="1"/>
          <c:showBubbleSize val="0"/>
          <c:extLst>
            <c:ext xmlns:c15="http://schemas.microsoft.com/office/drawing/2012/chart" uri="{CE6537A1-D6FC-4f65-9D91-7224C49458BB}"/>
          </c:extLst>
        </c:dLbl>
      </c:pivotFmt>
      <c:pivotFmt>
        <c:idx val="5"/>
        <c:spPr>
          <a:scene3d>
            <a:camera prst="orthographicFront"/>
            <a:lightRig rig="twoPt" dir="t"/>
          </a:scene3d>
          <a:sp3d prstMaterial="dkEdge">
            <a:bevelT/>
            <a:bevelB prst="convex"/>
          </a:sp3d>
        </c:spPr>
        <c:marker>
          <c:symbol val="none"/>
        </c:marker>
        <c:dLbl>
          <c:idx val="0"/>
          <c:spPr/>
          <c:txPr>
            <a:bodyPr/>
            <a:lstStyle/>
            <a:p>
              <a:pPr>
                <a:defRPr sz="1000" b="1"/>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dLbl>
          <c:idx val="0"/>
          <c:layout>
            <c:manualLayout>
              <c:x val="-1.2095773670584774E-2"/>
              <c:y val="0.15393893777983633"/>
            </c:manualLayout>
          </c:layout>
          <c:spPr/>
          <c:txPr>
            <a:bodyPr/>
            <a:lstStyle/>
            <a:p>
              <a:pPr>
                <a:defRPr sz="1000" b="1"/>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dLbl>
          <c:idx val="0"/>
          <c:layout>
            <c:manualLayout>
              <c:x val="-7.901357101083939E-2"/>
              <c:y val="-0.21460795690952406"/>
            </c:manualLayout>
          </c:layout>
          <c:spPr/>
          <c:txPr>
            <a:bodyPr/>
            <a:lstStyle/>
            <a:p>
              <a:pPr>
                <a:defRPr sz="900" b="1"/>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7.901357101083939E-2"/>
              <c:y val="-0.21568627450980393"/>
            </c:manualLayout>
          </c:layout>
          <c:spPr/>
          <c:txPr>
            <a:bodyPr/>
            <a:lstStyle/>
            <a:p>
              <a:pPr>
                <a:defRPr sz="1000" b="1"/>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646812856818628"/>
          <c:y val="0.18249735230464625"/>
          <c:w val="0.46220777973706745"/>
          <c:h val="0.73142353916286751"/>
        </c:manualLayout>
      </c:layout>
      <c:doughnutChart>
        <c:varyColors val="1"/>
        <c:ser>
          <c:idx val="0"/>
          <c:order val="0"/>
          <c:tx>
            <c:strRef>
              <c:f>'life cycle chart by count'!$B$3</c:f>
              <c:strCache>
                <c:ptCount val="1"/>
                <c:pt idx="0">
                  <c:v>Total</c:v>
                </c:pt>
              </c:strCache>
            </c:strRef>
          </c:tx>
          <c:spPr>
            <a:scene3d>
              <a:camera prst="orthographicFront"/>
              <a:lightRig rig="twoPt" dir="t"/>
            </a:scene3d>
            <a:sp3d prstMaterial="dkEdge">
              <a:bevelT/>
              <a:bevelB prst="convex"/>
            </a:sp3d>
          </c:spPr>
          <c:dLbls>
            <c:dLbl>
              <c:idx val="0"/>
              <c:layout>
                <c:manualLayout>
                  <c:x val="7.901357101083939E-2"/>
                  <c:y val="-0.2156862745098039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7F3-44D3-A19F-49403F5E0B3D}"/>
                </c:ext>
              </c:extLst>
            </c:dLbl>
            <c:dLbl>
              <c:idx val="1"/>
              <c:layout>
                <c:manualLayout>
                  <c:x val="-1.2095773670584774E-2"/>
                  <c:y val="0.1539389377798363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F3-44D3-A19F-49403F5E0B3D}"/>
                </c:ext>
              </c:extLst>
            </c:dLbl>
            <c:dLbl>
              <c:idx val="2"/>
              <c:layout>
                <c:manualLayout>
                  <c:x val="-7.901357101083939E-2"/>
                  <c:y val="-0.21460795690952406"/>
                </c:manualLayout>
              </c:layout>
              <c:spPr/>
              <c:txPr>
                <a:bodyPr/>
                <a:lstStyle/>
                <a:p>
                  <a:pPr>
                    <a:defRPr sz="900" b="1"/>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7F3-44D3-A19F-49403F5E0B3D}"/>
                </c:ext>
              </c:extLst>
            </c:dLbl>
            <c:spPr/>
            <c:txPr>
              <a:bodyPr/>
              <a:lstStyle/>
              <a:p>
                <a:pPr>
                  <a:defRPr sz="1000" b="1"/>
                </a:pPr>
                <a:endParaRPr lang="en-US"/>
              </a:p>
            </c:txPr>
            <c:showLegendKey val="0"/>
            <c:showVal val="1"/>
            <c:showCatName val="1"/>
            <c:showSerName val="0"/>
            <c:showPercent val="1"/>
            <c:showBubbleSize val="0"/>
            <c:showLeaderLines val="1"/>
            <c:extLst>
              <c:ext xmlns:c15="http://schemas.microsoft.com/office/drawing/2012/chart" uri="{CE6537A1-D6FC-4f65-9D91-7224C49458BB}"/>
            </c:extLst>
          </c:dLbls>
          <c:cat>
            <c:strRef>
              <c:f>'life cycle chart by count'!$A$4:$A$7</c:f>
              <c:strCache>
                <c:ptCount val="3"/>
                <c:pt idx="0">
                  <c:v>Annual</c:v>
                </c:pt>
                <c:pt idx="1">
                  <c:v>Biennial</c:v>
                </c:pt>
                <c:pt idx="2">
                  <c:v>Perennial</c:v>
                </c:pt>
              </c:strCache>
            </c:strRef>
          </c:cat>
          <c:val>
            <c:numRef>
              <c:f>'life cycle chart by count'!$B$4:$B$7</c:f>
              <c:numCache>
                <c:formatCode>General</c:formatCode>
                <c:ptCount val="3"/>
                <c:pt idx="0">
                  <c:v>197</c:v>
                </c:pt>
                <c:pt idx="1">
                  <c:v>25</c:v>
                </c:pt>
                <c:pt idx="2">
                  <c:v>178</c:v>
                </c:pt>
              </c:numCache>
            </c:numRef>
          </c:val>
          <c:extLst>
            <c:ext xmlns:c16="http://schemas.microsoft.com/office/drawing/2014/chart" uri="{C3380CC4-5D6E-409C-BE32-E72D297353CC}">
              <c16:uniqueId val="{00000003-F7F3-44D3-A19F-49403F5E0B3D}"/>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3275370529365302"/>
          <c:y val="0.68021113169677316"/>
          <c:w val="0.22444575218796958"/>
          <c:h val="0.2579634931997139"/>
        </c:manualLayout>
      </c:layout>
      <c:overlay val="0"/>
      <c:txPr>
        <a:bodyPr/>
        <a:lstStyle/>
        <a:p>
          <a:pPr>
            <a:defRPr sz="1000"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innerShdw blurRad="114300">
        <a:prstClr val="black">
          <a:alpha val="97000"/>
        </a:prstClr>
      </a:innerShdw>
    </a:effectLst>
    <a:scene3d>
      <a:camera prst="orthographicFront"/>
      <a:lightRig rig="chilly" dir="t"/>
    </a:scene3d>
    <a:sp3d>
      <a:bevelT w="165100" prst="coolSlant"/>
      <a:bevelB w="165100" prst="coolSlant"/>
    </a:sp3d>
  </c:spPr>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[ONLINE_BUSINESS.xlsx]location chart by name!PivotTable5</c:name>
    <c:fmtId val="4"/>
  </c:pivotSource>
  <c:chart>
    <c:title>
      <c:tx>
        <c:rich>
          <a:bodyPr/>
          <a:lstStyle/>
          <a:p>
            <a:pPr>
              <a:defRPr sz="1400"/>
            </a:pPr>
            <a:r>
              <a:rPr lang="en-US" sz="1400"/>
              <a:t>LOCATION</a:t>
            </a:r>
            <a:r>
              <a:rPr lang="en-US" sz="1400" baseline="0"/>
              <a:t> BY COUNT</a:t>
            </a:r>
            <a:endParaRPr lang="en-US" sz="1400"/>
          </a:p>
        </c:rich>
      </c:tx>
      <c:overlay val="0"/>
    </c:title>
    <c:autoTitleDeleted val="0"/>
    <c:pivotFmts>
      <c:pivotFmt>
        <c:idx val="0"/>
        <c:spPr>
          <a:effectLst>
            <a:innerShdw blurRad="114300">
              <a:prstClr val="black"/>
            </a:innerShdw>
          </a:effectLst>
          <a:scene3d>
            <a:camera prst="orthographicFront"/>
            <a:lightRig rig="threePt" dir="t"/>
          </a:scene3d>
          <a:sp3d prstMaterial="dkEdge">
            <a:bevelT prst="angle"/>
            <a:bevelB/>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9.25925925925927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700066800266599E-3"/>
              <c:y val="-0.1579520697167757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37581699346405284"/>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effectLst>
            <a:innerShdw blurRad="114300">
              <a:prstClr val="black"/>
            </a:innerShdw>
          </a:effectLst>
          <a:scene3d>
            <a:camera prst="orthographicFront"/>
            <a:lightRig rig="threePt" dir="t"/>
          </a:scene3d>
          <a:sp3d prstMaterial="dkEdge">
            <a:bevelT prst="angle"/>
            <a:bevelB/>
          </a:sp3d>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37581699346405284"/>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6700066800266599E-3"/>
              <c:y val="-0.1579520697167757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9.25925925925927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effectLst>
            <a:innerShdw blurRad="114300">
              <a:prstClr val="black"/>
            </a:innerShdw>
          </a:effectLst>
          <a:scene3d>
            <a:camera prst="orthographicFront"/>
            <a:lightRig rig="threePt" dir="t"/>
          </a:scene3d>
          <a:sp3d prstMaterial="dkEdge">
            <a:bevelT prst="angle"/>
            <a:bevelB/>
          </a:sp3d>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37581699346405284"/>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6700066800266599E-3"/>
              <c:y val="-0.1579520697167757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9.2592592592592712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'location chart by name'!$B$3</c:f>
              <c:strCache>
                <c:ptCount val="1"/>
                <c:pt idx="0">
                  <c:v>Total</c:v>
                </c:pt>
              </c:strCache>
            </c:strRef>
          </c:tx>
          <c:spPr>
            <a:effectLst>
              <a:innerShdw blurRad="114300">
                <a:prstClr val="black"/>
              </a:innerShdw>
            </a:effectLst>
            <a:scene3d>
              <a:camera prst="orthographicFront"/>
              <a:lightRig rig="threePt" dir="t"/>
            </a:scene3d>
            <a:sp3d prstMaterial="dkEdge">
              <a:bevelT prst="angle"/>
              <a:bevelB/>
            </a:sp3d>
          </c:spPr>
          <c:invertIfNegative val="0"/>
          <c:dLbls>
            <c:dLbl>
              <c:idx val="0"/>
              <c:layout>
                <c:manualLayout>
                  <c:x val="0"/>
                  <c:y val="-0.37581699346405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BC-4502-A39C-0C12F6097AE8}"/>
                </c:ext>
              </c:extLst>
            </c:dLbl>
            <c:dLbl>
              <c:idx val="1"/>
              <c:layout>
                <c:manualLayout>
                  <c:x val="1.6700066800266599E-3"/>
                  <c:y val="-0.15795206971677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BC-4502-A39C-0C12F6097AE8}"/>
                </c:ext>
              </c:extLst>
            </c:dLbl>
            <c:dLbl>
              <c:idx val="2"/>
              <c:layout>
                <c:manualLayout>
                  <c:x val="0"/>
                  <c:y val="-9.25925925925927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BC-4502-A39C-0C12F6097AE8}"/>
                </c:ext>
              </c:extLst>
            </c:dLbl>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'location chart by name'!$A$4:$A$7</c:f>
              <c:strCache>
                <c:ptCount val="3"/>
                <c:pt idx="0">
                  <c:v>Both</c:v>
                </c:pt>
                <c:pt idx="1">
                  <c:v>Indoor</c:v>
                </c:pt>
                <c:pt idx="2">
                  <c:v>Outdoor</c:v>
                </c:pt>
              </c:strCache>
            </c:strRef>
          </c:cat>
          <c:val>
            <c:numRef>
              <c:f>'location chart by name'!$B$4:$B$7</c:f>
              <c:numCache>
                <c:formatCode>General</c:formatCode>
                <c:ptCount val="3"/>
                <c:pt idx="0">
                  <c:v>312</c:v>
                </c:pt>
                <c:pt idx="1">
                  <c:v>86</c:v>
                </c:pt>
                <c:pt idx="2">
                  <c:v>2</c:v>
                </c:pt>
              </c:numCache>
            </c:numRef>
          </c:val>
          <c:extLst>
            <c:ext xmlns:c16="http://schemas.microsoft.com/office/drawing/2014/chart" uri="{C3380CC4-5D6E-409C-BE32-E72D297353CC}">
              <c16:uniqueId val="{00000003-CDBC-4502-A39C-0C12F6097AE8}"/>
            </c:ext>
          </c:extLst>
        </c:ser>
        <c:dLbls>
          <c:showLegendKey val="0"/>
          <c:showVal val="0"/>
          <c:showCatName val="0"/>
          <c:showSerName val="0"/>
          <c:showPercent val="0"/>
          <c:showBubbleSize val="0"/>
        </c:dLbls>
        <c:gapWidth val="150"/>
        <c:shape val="cylinder"/>
        <c:axId val="149172224"/>
        <c:axId val="151413504"/>
        <c:axId val="0"/>
      </c:bar3DChart>
      <c:catAx>
        <c:axId val="149172224"/>
        <c:scaling>
          <c:orientation val="minMax"/>
        </c:scaling>
        <c:delete val="0"/>
        <c:axPos val="b"/>
        <c:numFmt formatCode="General" sourceLinked="0"/>
        <c:majorTickMark val="out"/>
        <c:minorTickMark val="none"/>
        <c:tickLblPos val="nextTo"/>
        <c:txPr>
          <a:bodyPr/>
          <a:lstStyle/>
          <a:p>
            <a:pPr>
              <a:defRPr b="1"/>
            </a:pPr>
            <a:endParaRPr lang="en-US"/>
          </a:p>
        </c:txPr>
        <c:crossAx val="151413504"/>
        <c:crosses val="autoZero"/>
        <c:auto val="1"/>
        <c:lblAlgn val="ctr"/>
        <c:lblOffset val="100"/>
        <c:noMultiLvlLbl val="0"/>
      </c:catAx>
      <c:valAx>
        <c:axId val="151413504"/>
        <c:scaling>
          <c:orientation val="minMax"/>
        </c:scaling>
        <c:delete val="0"/>
        <c:axPos val="l"/>
        <c:majorGridlines/>
        <c:numFmt formatCode="General" sourceLinked="1"/>
        <c:majorTickMark val="out"/>
        <c:minorTickMark val="none"/>
        <c:tickLblPos val="nextTo"/>
        <c:txPr>
          <a:bodyPr/>
          <a:lstStyle/>
          <a:p>
            <a:pPr>
              <a:defRPr b="1"/>
            </a:pPr>
            <a:endParaRPr lang="en-US"/>
          </a:p>
        </c:txPr>
        <c:crossAx val="149172224"/>
        <c:crosses val="autoZero"/>
        <c:crossBetween val="between"/>
      </c:valAx>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prstMaterial="dkEdge">
      <a:bevelT prst="convex"/>
      <a:bevelB prst="relaxedInset"/>
    </a:sp3d>
  </c:spPr>
  <c:printSettings>
    <c:headerFooter/>
    <c:pageMargins b="0.75000000000000033" l="0.70000000000000029" r="0.70000000000000029" t="0.75000000000000033" header="0.30000000000000016" footer="0.30000000000000016"/>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[ONLINE_BUSINESS.xlsx]feng shui chart by count!PivotTable6</c:name>
    <c:fmtId val="3"/>
  </c:pivotSource>
  <c:chart>
    <c:title>
      <c:tx>
        <c:rich>
          <a:bodyPr/>
          <a:lstStyle/>
          <a:p>
            <a:pPr>
              <a:defRPr sz="1400"/>
            </a:pPr>
            <a:r>
              <a:rPr lang="en-US" sz="1400"/>
              <a:t>FENG</a:t>
            </a:r>
            <a:r>
              <a:rPr lang="en-US" sz="1400" baseline="0"/>
              <a:t> SHUI BY COUNT</a:t>
            </a:r>
          </a:p>
        </c:rich>
      </c:tx>
      <c:layout>
        <c:manualLayout>
          <c:xMode val="edge"/>
          <c:yMode val="edge"/>
          <c:x val="0.13529905046200374"/>
          <c:y val="3.8382031056760302E-2"/>
        </c:manualLayout>
      </c:layout>
      <c:overlay val="0"/>
    </c:title>
    <c:autoTitleDeleted val="0"/>
    <c:pivotFmts>
      <c:pivotFmt>
        <c:idx val="0"/>
        <c:spPr>
          <a:scene3d>
            <a:camera prst="orthographicFront"/>
            <a:lightRig rig="threePt" dir="t"/>
          </a:scene3d>
          <a:sp3d>
            <a:bevelT w="114300" prst="artDeco"/>
            <a:bevelB/>
          </a:sp3d>
        </c:spPr>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cene3d>
            <a:camera prst="orthographicFront"/>
            <a:lightRig rig="threePt" dir="t"/>
          </a:scene3d>
          <a:sp3d>
            <a:bevelT w="114300" prst="artDeco"/>
            <a:bevelB/>
          </a:sp3d>
        </c:spPr>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cene3d>
            <a:camera prst="orthographicFront"/>
            <a:lightRig rig="threePt" dir="t"/>
          </a:scene3d>
          <a:sp3d>
            <a:bevelT w="114300" prst="artDeco"/>
            <a:bevelB/>
          </a:sp3d>
        </c:spPr>
        <c:marker>
          <c:symbol val="none"/>
        </c:marker>
        <c:dLbl>
          <c:idx val="0"/>
          <c:spPr/>
          <c:txPr>
            <a:bodyPr/>
            <a:lstStyle/>
            <a:p>
              <a:pPr>
                <a:defRPr sz="1100" b="1"/>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3333634462239416"/>
              <c:y val="-0.20611018000703191"/>
            </c:manualLayout>
          </c:layout>
          <c:spPr/>
          <c:txPr>
            <a:bodyPr/>
            <a:lstStyle/>
            <a:p>
              <a:pPr>
                <a:defRPr sz="1100" b="1"/>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6.7876157464232756E-2"/>
              <c:y val="-6.6778556821962209E-2"/>
            </c:manualLayout>
          </c:layout>
          <c:spPr/>
          <c:txPr>
            <a:bodyPr/>
            <a:lstStyle/>
            <a:p>
              <a:pPr>
                <a:defRPr sz="1100" b="1"/>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manualLayout>
          <c:layoutTarget val="inner"/>
          <c:xMode val="edge"/>
          <c:yMode val="edge"/>
          <c:x val="9.8951482241577376E-2"/>
          <c:y val="0.31295801586458272"/>
          <c:w val="0.66113215409685167"/>
          <c:h val="0.52909922717993585"/>
        </c:manualLayout>
      </c:layout>
      <c:pie3DChart>
        <c:varyColors val="1"/>
        <c:ser>
          <c:idx val="0"/>
          <c:order val="0"/>
          <c:tx>
            <c:strRef>
              <c:f>'feng shui chart by count'!$B$3</c:f>
              <c:strCache>
                <c:ptCount val="1"/>
                <c:pt idx="0">
                  <c:v>Total</c:v>
                </c:pt>
              </c:strCache>
            </c:strRef>
          </c:tx>
          <c:spPr>
            <a:scene3d>
              <a:camera prst="orthographicFront"/>
              <a:lightRig rig="threePt" dir="t"/>
            </a:scene3d>
            <a:sp3d>
              <a:bevelT w="114300" prst="artDeco"/>
              <a:bevelB/>
            </a:sp3d>
          </c:spPr>
          <c:explosion val="10"/>
          <c:dLbls>
            <c:dLbl>
              <c:idx val="0"/>
              <c:layout>
                <c:manualLayout>
                  <c:x val="-6.7876157464232756E-2"/>
                  <c:y val="-6.67785568219622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32C1-4EAD-AF15-D8A4AEEB0876}"/>
                </c:ext>
              </c:extLst>
            </c:dLbl>
            <c:dLbl>
              <c:idx val="1"/>
              <c:layout>
                <c:manualLayout>
                  <c:x val="0.13333634462239416"/>
                  <c:y val="-0.2061101800070319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C1-4EAD-AF15-D8A4AEEB0876}"/>
                </c:ext>
              </c:extLst>
            </c:dLbl>
            <c:spPr/>
            <c:txPr>
              <a:bodyPr/>
              <a:lstStyle/>
              <a:p>
                <a:pPr>
                  <a:defRPr sz="1100" b="1"/>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'feng shui chart by count'!$A$4:$A$6</c:f>
              <c:strCache>
                <c:ptCount val="2"/>
                <c:pt idx="0">
                  <c:v>No</c:v>
                </c:pt>
                <c:pt idx="1">
                  <c:v>Yes</c:v>
                </c:pt>
              </c:strCache>
            </c:strRef>
          </c:cat>
          <c:val>
            <c:numRef>
              <c:f>'feng shui chart by count'!$B$4:$B$6</c:f>
              <c:numCache>
                <c:formatCode>General</c:formatCode>
                <c:ptCount val="2"/>
                <c:pt idx="0">
                  <c:v>186</c:v>
                </c:pt>
                <c:pt idx="1">
                  <c:v>214</c:v>
                </c:pt>
              </c:numCache>
            </c:numRef>
          </c:val>
          <c:extLst>
            <c:ext xmlns:c16="http://schemas.microsoft.com/office/drawing/2014/chart" uri="{C3380CC4-5D6E-409C-BE32-E72D297353CC}">
              <c16:uniqueId val="{00000002-32C1-4EAD-AF15-D8A4AEEB0876}"/>
            </c:ext>
          </c:extLst>
        </c:ser>
        <c:dLbls>
          <c:showLegendKey val="0"/>
          <c:showVal val="0"/>
          <c:showCatName val="0"/>
          <c:showSerName val="0"/>
          <c:showPercent val="1"/>
          <c:showBubbleSize val="0"/>
          <c:showLeaderLines val="1"/>
        </c:dLbls>
      </c:pie3DChart>
    </c:plotArea>
    <c:legend>
      <c:legendPos val="r"/>
      <c:layout>
        <c:manualLayout>
          <c:xMode val="edge"/>
          <c:yMode val="edge"/>
          <c:x val="0.78677913176680836"/>
          <c:y val="0.76011623122003369"/>
          <c:w val="0.15336167872818862"/>
          <c:h val="0.18104210780240693"/>
        </c:manualLayout>
      </c:layout>
      <c:overlay val="0"/>
      <c:txPr>
        <a:bodyPr/>
        <a:lstStyle/>
        <a:p>
          <a:pPr>
            <a:defRPr sz="1050"/>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innerShdw blurRad="114300">
        <a:prstClr val="black">
          <a:alpha val="97000"/>
        </a:prstClr>
      </a:innerShdw>
    </a:effectLst>
    <a:scene3d>
      <a:camera prst="orthographicFront"/>
      <a:lightRig rig="threePt" dir="t"/>
    </a:scene3d>
    <a:sp3d prstMaterial="dkEdge">
      <a:bevelT w="101600" prst="riblet"/>
      <a:bevelB w="139700" h="139700" prst="divot"/>
    </a:sp3d>
  </c:spPr>
  <c:printSettings>
    <c:headerFooter/>
    <c:pageMargins b="0.75000000000000033" l="0.70000000000000029" r="0.70000000000000029" t="0.75000000000000033" header="0.30000000000000016" footer="0.30000000000000016"/>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[ONLINE_BUSINESS.xlsx]return policy chart by count!PivotTable2</c:name>
    <c:fmtId val="3"/>
  </c:pivotSource>
  <c:chart>
    <c:title>
      <c:tx>
        <c:rich>
          <a:bodyPr/>
          <a:lstStyle/>
          <a:p>
            <a:pPr>
              <a:defRPr sz="1400"/>
            </a:pPr>
            <a:r>
              <a:rPr lang="en-US" sz="1400"/>
              <a:t>RETURN</a:t>
            </a:r>
            <a:r>
              <a:rPr lang="en-US" sz="1400" baseline="0"/>
              <a:t> POLICY BY COUNT</a:t>
            </a:r>
            <a:endParaRPr lang="en-US" sz="1400"/>
          </a:p>
        </c:rich>
      </c:tx>
      <c:layout>
        <c:manualLayout>
          <c:xMode val="edge"/>
          <c:yMode val="edge"/>
          <c:x val="0.1326054149304049"/>
          <c:y val="5.6089708201021979E-2"/>
        </c:manualLayout>
      </c:layout>
      <c:overlay val="0"/>
    </c:title>
    <c:autoTitleDeleted val="0"/>
    <c:pivotFmts>
      <c:pivotFmt>
        <c:idx val="0"/>
        <c:spPr>
          <a:effectLst>
            <a:innerShdw blurRad="114300">
              <a:prstClr val="black">
                <a:alpha val="96000"/>
              </a:prstClr>
            </a:innerShdw>
          </a:effectLst>
          <a:scene3d>
            <a:camera prst="orthographicFront"/>
            <a:lightRig rig="morning" dir="t"/>
          </a:scene3d>
          <a:sp3d prstMaterial="metal">
            <a:bevelT w="152400" h="50800" prst="softRound"/>
            <a:bevelB w="152400" h="50800" prst="softRound"/>
          </a:sp3d>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4.0849737532808426E-3"/>
              <c:y val="-0.29015784485272672"/>
            </c:manualLayout>
          </c:layout>
          <c:tx>
            <c:rich>
              <a:bodyPr/>
              <a:lstStyle/>
              <a:p>
                <a:pPr>
                  <a:defRPr sz="1100" b="1"/>
                </a:pPr>
                <a:r>
                  <a:rPr lang="en-US" sz="1100" b="1"/>
                  <a:t>400,</a:t>
                </a:r>
              </a:p>
              <a:p>
                <a:pPr>
                  <a:defRPr sz="1100" b="1"/>
                </a:pPr>
                <a:r>
                  <a:rPr lang="en-US" sz="1100" b="1"/>
                  <a:t> 100%</a:t>
                </a:r>
              </a:p>
            </c:rich>
          </c:tx>
          <c:spPr>
            <a:noFill/>
          </c:spPr>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2"/>
        <c:spPr>
          <a:effectLst>
            <a:innerShdw blurRad="114300">
              <a:prstClr val="black">
                <a:alpha val="96000"/>
              </a:prstClr>
            </a:innerShdw>
          </a:effectLst>
          <a:scene3d>
            <a:camera prst="orthographicFront"/>
            <a:lightRig rig="morning" dir="t"/>
          </a:scene3d>
          <a:sp3d prstMaterial="metal">
            <a:bevelT w="152400" h="50800" prst="softRound"/>
            <a:bevelB w="152400" h="50800" prst="softRound"/>
          </a:sp3d>
        </c:spPr>
        <c:marker>
          <c:symbol val="none"/>
        </c:marker>
        <c:dLbl>
          <c:idx val="0"/>
          <c:spPr/>
          <c:txPr>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4.0849737532808426E-3"/>
              <c:y val="-0.29015784485272672"/>
            </c:manualLayout>
          </c:layout>
          <c:tx>
            <c:rich>
              <a:bodyPr/>
              <a:lstStyle/>
              <a:p>
                <a:pPr>
                  <a:defRPr sz="1100" b="1"/>
                </a:pPr>
                <a:r>
                  <a:rPr lang="en-US" sz="1100" b="1"/>
                  <a:t>400,</a:t>
                </a:r>
              </a:p>
              <a:p>
                <a:pPr>
                  <a:defRPr sz="1100" b="1"/>
                </a:pPr>
                <a:r>
                  <a:rPr lang="en-US" sz="1100" b="1"/>
                  <a:t> 100%</a:t>
                </a:r>
              </a:p>
            </c:rich>
          </c:tx>
          <c:spPr>
            <a:noFill/>
          </c:spPr>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4"/>
        <c:spPr>
          <a:effectLst>
            <a:innerShdw blurRad="114300">
              <a:prstClr val="black">
                <a:alpha val="96000"/>
              </a:prstClr>
            </a:innerShdw>
          </a:effectLst>
          <a:scene3d>
            <a:camera prst="orthographicFront"/>
            <a:lightRig rig="morning" dir="t"/>
          </a:scene3d>
          <a:sp3d prstMaterial="metal">
            <a:bevelT w="152400" h="50800" prst="softRound"/>
            <a:bevelB w="152400" h="50800" prst="softRound"/>
          </a:sp3d>
        </c:spPr>
        <c:marker>
          <c:symbol val="none"/>
        </c:marker>
        <c:dLbl>
          <c:idx val="0"/>
          <c:delete val="1"/>
          <c:extLst>
            <c:ext xmlns:c15="http://schemas.microsoft.com/office/drawing/2012/chart" uri="{CE6537A1-D6FC-4f65-9D91-7224C49458BB}"/>
          </c:extLst>
        </c:dLbl>
      </c:pivotFmt>
      <c:pivotFmt>
        <c:idx val="5"/>
      </c:pivotFmt>
    </c:pivotFmts>
    <c:plotArea>
      <c:layout/>
      <c:pieChart>
        <c:varyColors val="1"/>
        <c:ser>
          <c:idx val="0"/>
          <c:order val="0"/>
          <c:tx>
            <c:strRef>
              <c:f>'return policy chart by count'!$B$3</c:f>
              <c:strCache>
                <c:ptCount val="1"/>
                <c:pt idx="0">
                  <c:v>Total</c:v>
                </c:pt>
              </c:strCache>
            </c:strRef>
          </c:tx>
          <c:spPr>
            <a:effectLst>
              <a:innerShdw blurRad="114300">
                <a:prstClr val="black">
                  <a:alpha val="96000"/>
                </a:prstClr>
              </a:innerShdw>
            </a:effectLst>
            <a:scene3d>
              <a:camera prst="orthographicFront"/>
              <a:lightRig rig="morning" dir="t"/>
            </a:scene3d>
            <a:sp3d prstMaterial="metal">
              <a:bevelT w="152400" h="50800" prst="softRound"/>
              <a:bevelB w="152400" h="50800" prst="softRound"/>
            </a:sp3d>
          </c:spPr>
          <c:cat>
            <c:strRef>
              <c:f>'return policy chart by count'!$A$4:$A$5</c:f>
              <c:strCache>
                <c:ptCount val="1"/>
                <c:pt idx="0">
                  <c:v>No Returns Allowed?</c:v>
                </c:pt>
              </c:strCache>
            </c:strRef>
          </c:cat>
          <c:val>
            <c:numRef>
              <c:f>'return policy chart by count'!$B$4:$B$5</c:f>
              <c:numCache>
                <c:formatCode>General</c:formatCode>
                <c:ptCount val="1"/>
                <c:pt idx="0">
                  <c:v>400</c:v>
                </c:pt>
              </c:numCache>
            </c:numRef>
          </c:val>
          <c:extLst>
            <c:ext xmlns:c16="http://schemas.microsoft.com/office/drawing/2014/chart" uri="{C3380CC4-5D6E-409C-BE32-E72D297353CC}">
              <c16:uniqueId val="{00000001-8C5C-47A7-BC8E-2516275A77D8}"/>
            </c:ext>
          </c:extLst>
        </c:ser>
        <c:dLbls>
          <c:showLegendKey val="0"/>
          <c:showVal val="0"/>
          <c:showCatName val="0"/>
          <c:showSerName val="0"/>
          <c:showPercent val="0"/>
          <c:showBubbleSize val="0"/>
          <c:showLeaderLines val="1"/>
        </c:dLbls>
        <c:firstSliceAng val="0"/>
      </c:pieChart>
    </c:plotArea>
    <c:legend>
      <c:legendPos val="r"/>
      <c:overlay val="0"/>
      <c:txPr>
        <a:bodyPr/>
        <a:lstStyle/>
        <a:p>
          <a:pPr>
            <a:defRPr sz="1050"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innerShdw blurRad="114300">
        <a:prstClr val="black"/>
      </a:innerShdw>
    </a:effectLst>
    <a:scene3d>
      <a:camera prst="orthographicFront"/>
      <a:lightRig rig="chilly" dir="t"/>
    </a:scene3d>
    <a:sp3d prstMaterial="metal">
      <a:bevelT w="139700" h="139700" prst="divot"/>
      <a:bevelB w="139700" h="139700" prst="divot"/>
    </a:sp3d>
  </c:spPr>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[ONLINE_BUSINESS.xlsx]plant size chart by count!PivotTable1</c:name>
    <c:fmtId val="3"/>
  </c:pivotSource>
  <c:chart>
    <c:title>
      <c:tx>
        <c:rich>
          <a:bodyPr/>
          <a:lstStyle/>
          <a:p>
            <a:pPr>
              <a:defRPr sz="1400"/>
            </a:pPr>
            <a:r>
              <a:rPr lang="en-US" sz="1400"/>
              <a:t>PLANT</a:t>
            </a:r>
            <a:r>
              <a:rPr lang="en-US" sz="1400" baseline="0"/>
              <a:t> SIZE BY COUNT</a:t>
            </a:r>
            <a:endParaRPr lang="en-US" sz="1400"/>
          </a:p>
        </c:rich>
      </c:tx>
      <c:layout>
        <c:manualLayout>
          <c:xMode val="edge"/>
          <c:yMode val="edge"/>
          <c:x val="0.2740855202378053"/>
          <c:y val="5.6925996204933584E-2"/>
        </c:manualLayout>
      </c:layout>
      <c:overlay val="0"/>
    </c:title>
    <c:autoTitleDeleted val="0"/>
    <c:pivotFmts>
      <c:pivotFmt>
        <c:idx val="0"/>
        <c:spPr>
          <a:effectLst>
            <a:innerShdw blurRad="114300">
              <a:prstClr val="black">
                <a:alpha val="95000"/>
              </a:prstClr>
            </a:innerShdw>
          </a:effectLst>
          <a:scene3d>
            <a:camera prst="orthographicFront"/>
            <a:lightRig rig="twoPt" dir="t"/>
          </a:scene3d>
          <a:sp3d prstMaterial="dkEdge">
            <a:bevelT w="152400" h="50800" prst="softRound"/>
            <a:bevelB w="152400" h="50800" prst="softRound"/>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'plant size chart by count'!$B$3</c:f>
              <c:strCache>
                <c:ptCount val="1"/>
                <c:pt idx="0">
                  <c:v>Total</c:v>
                </c:pt>
              </c:strCache>
            </c:strRef>
          </c:tx>
          <c:spPr>
            <a:effectLst>
              <a:innerShdw blurRad="114300">
                <a:prstClr val="black">
                  <a:alpha val="95000"/>
                </a:prstClr>
              </a:innerShdw>
            </a:effectLst>
            <a:scene3d>
              <a:camera prst="orthographicFront"/>
              <a:lightRig rig="twoPt" dir="t"/>
            </a:scene3d>
            <a:sp3d prstMaterial="dkEdge">
              <a:bevelT w="152400" h="50800" prst="softRound"/>
              <a:bevelB w="152400" h="50800" prst="softRound"/>
            </a:sp3d>
          </c:spPr>
          <c:explosion val="10"/>
          <c:dLbls>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showLeaderLines val="1"/>
            <c:extLst>
              <c:ext xmlns:c15="http://schemas.microsoft.com/office/drawing/2012/chart" uri="{CE6537A1-D6FC-4f65-9D91-7224C49458BB}"/>
            </c:extLst>
          </c:dLbls>
          <c:cat>
            <c:strRef>
              <c:f>'plant size chart by count'!$A$4:$A$7</c:f>
              <c:strCache>
                <c:ptCount val="3"/>
                <c:pt idx="0">
                  <c:v>Large</c:v>
                </c:pt>
                <c:pt idx="1">
                  <c:v>Medium</c:v>
                </c:pt>
                <c:pt idx="2">
                  <c:v>Small</c:v>
                </c:pt>
              </c:strCache>
            </c:strRef>
          </c:cat>
          <c:val>
            <c:numRef>
              <c:f>'plant size chart by count'!$B$4:$B$7</c:f>
              <c:numCache>
                <c:formatCode>General</c:formatCode>
                <c:ptCount val="3"/>
                <c:pt idx="0">
                  <c:v>1</c:v>
                </c:pt>
                <c:pt idx="1">
                  <c:v>96</c:v>
                </c:pt>
                <c:pt idx="2">
                  <c:v>303</c:v>
                </c:pt>
              </c:numCache>
            </c:numRef>
          </c:val>
          <c:extLst>
            <c:ext xmlns:c16="http://schemas.microsoft.com/office/drawing/2014/chart" uri="{C3380CC4-5D6E-409C-BE32-E72D297353CC}">
              <c16:uniqueId val="{00000000-1687-45BA-A8D4-80076EBF3229}"/>
            </c:ext>
          </c:extLst>
        </c:ser>
        <c:dLbls>
          <c:showLegendKey val="0"/>
          <c:showVal val="0"/>
          <c:showCatName val="0"/>
          <c:showSerName val="0"/>
          <c:showPercent val="0"/>
          <c:showBubbleSize val="0"/>
          <c:showLeaderLines val="1"/>
        </c:dLbls>
        <c:firstSliceAng val="40"/>
      </c:pieChart>
    </c:plotArea>
    <c:legend>
      <c:legendPos val="r"/>
      <c:layout>
        <c:manualLayout>
          <c:xMode val="edge"/>
          <c:yMode val="edge"/>
          <c:x val="0.78758074640266318"/>
          <c:y val="0.39390727567504791"/>
          <c:w val="0.20232843624113084"/>
          <c:h val="0.24898973895868651"/>
        </c:manualLayout>
      </c:layout>
      <c:overlay val="0"/>
      <c:txPr>
        <a:bodyPr/>
        <a:lstStyle/>
        <a:p>
          <a:pPr>
            <a:defRPr sz="900"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morning" dir="t"/>
    </a:scene3d>
    <a:sp3d prstMaterial="matte">
      <a:bevelT w="139700" h="139700" prst="divot"/>
      <a:bevelB w="139700" h="139700" prst="divot"/>
    </a:sp3d>
  </c:spPr>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[ONLINE_BUSINESS.xlsx]return policy chart by count!PivotTable2</c:name>
    <c:fmtId val="1"/>
  </c:pivotSource>
  <c:chart>
    <c:title>
      <c:tx>
        <c:rich>
          <a:bodyPr/>
          <a:lstStyle/>
          <a:p>
            <a:pPr>
              <a:defRPr sz="1400"/>
            </a:pPr>
            <a:r>
              <a:rPr lang="en-US" sz="1400"/>
              <a:t>RETURN</a:t>
            </a:r>
            <a:r>
              <a:rPr lang="en-US" sz="1400" baseline="0"/>
              <a:t> POLICY BY COUNT</a:t>
            </a:r>
            <a:endParaRPr lang="en-US" sz="1400"/>
          </a:p>
        </c:rich>
      </c:tx>
      <c:overlay val="0"/>
    </c:title>
    <c:autoTitleDeleted val="0"/>
    <c:pivotFmts>
      <c:pivotFmt>
        <c:idx val="0"/>
        <c:spPr>
          <a:effectLst>
            <a:innerShdw blurRad="114300">
              <a:prstClr val="black">
                <a:alpha val="96000"/>
              </a:prstClr>
            </a:innerShdw>
          </a:effectLst>
          <a:scene3d>
            <a:camera prst="orthographicFront"/>
            <a:lightRig rig="morning" dir="t"/>
          </a:scene3d>
          <a:sp3d prstMaterial="metal">
            <a:bevelT w="152400" h="50800" prst="softRound"/>
            <a:bevelB w="152400" h="50800" prst="softRound"/>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4.0849737532808409E-3"/>
              <c:y val="-0.29015784485272672"/>
            </c:manualLayout>
          </c:layout>
          <c:tx>
            <c:rich>
              <a:bodyPr/>
              <a:lstStyle/>
              <a:p>
                <a:pPr>
                  <a:defRPr sz="1100" b="1"/>
                </a:pPr>
                <a:r>
                  <a:rPr lang="en-US" sz="1100" b="1"/>
                  <a:t>400,</a:t>
                </a:r>
              </a:p>
              <a:p>
                <a:pPr>
                  <a:defRPr sz="1100" b="1"/>
                </a:pPr>
                <a:r>
                  <a:rPr lang="en-US" sz="1100" b="1"/>
                  <a:t> 100%</a:t>
                </a:r>
              </a:p>
            </c:rich>
          </c:tx>
          <c:spPr>
            <a:noFill/>
          </c:spPr>
          <c:showLegendKey val="0"/>
          <c:showVal val="1"/>
          <c:showCatName val="0"/>
          <c:showSerName val="0"/>
          <c:showPercent val="1"/>
          <c:showBubbleSize val="0"/>
          <c:extLst>
            <c:ext xmlns:c15="http://schemas.microsoft.com/office/drawing/2012/chart" uri="{CE6537A1-D6FC-4f65-9D91-7224C49458BB}">
              <c15:showDataLabelsRange val="0"/>
            </c:ext>
          </c:extLst>
        </c:dLbl>
      </c:pivotFmt>
    </c:pivotFmts>
    <c:plotArea>
      <c:layout/>
      <c:pieChart>
        <c:varyColors val="1"/>
        <c:ser>
          <c:idx val="0"/>
          <c:order val="0"/>
          <c:tx>
            <c:strRef>
              <c:f>'return policy chart by count'!$B$3</c:f>
              <c:strCache>
                <c:ptCount val="1"/>
                <c:pt idx="0">
                  <c:v>Total</c:v>
                </c:pt>
              </c:strCache>
            </c:strRef>
          </c:tx>
          <c:spPr>
            <a:effectLst>
              <a:innerShdw blurRad="114300">
                <a:prstClr val="black">
                  <a:alpha val="96000"/>
                </a:prstClr>
              </a:innerShdw>
            </a:effectLst>
            <a:scene3d>
              <a:camera prst="orthographicFront"/>
              <a:lightRig rig="morning" dir="t"/>
            </a:scene3d>
            <a:sp3d prstMaterial="metal">
              <a:bevelT w="152400" h="50800" prst="softRound"/>
              <a:bevelB w="152400" h="50800" prst="softRound"/>
            </a:sp3d>
          </c:spPr>
          <c:dLbls>
            <c:dLbl>
              <c:idx val="0"/>
              <c:layout>
                <c:manualLayout>
                  <c:x val="-4.0849737532808409E-3"/>
                  <c:y val="-0.29015784485272672"/>
                </c:manualLayout>
              </c:layout>
              <c:tx>
                <c:rich>
                  <a:bodyPr/>
                  <a:lstStyle/>
                  <a:p>
                    <a:pPr>
                      <a:defRPr sz="1100" b="1"/>
                    </a:pPr>
                    <a:r>
                      <a:rPr lang="en-US" sz="1100" b="1"/>
                      <a:t>400,</a:t>
                    </a:r>
                  </a:p>
                  <a:p>
                    <a:pPr>
                      <a:defRPr sz="1100" b="1"/>
                    </a:pPr>
                    <a:r>
                      <a:rPr lang="en-US" sz="1100" b="1"/>
                      <a:t> 100%</a:t>
                    </a:r>
                  </a:p>
                </c:rich>
              </c:tx>
              <c:spPr>
                <a:noFill/>
              </c:spPr>
              <c:showLegendKey val="0"/>
              <c:showVal val="1"/>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0-E63E-4FD0-AB31-53D85F3627BC}"/>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howLeaderLines val="1"/>
            <c:extLst>
              <c:ext xmlns:c15="http://schemas.microsoft.com/office/drawing/2012/chart" uri="{CE6537A1-D6FC-4f65-9D91-7224C49458BB}"/>
            </c:extLst>
          </c:dLbls>
          <c:cat>
            <c:strRef>
              <c:f>'return policy chart by count'!$A$4:$A$5</c:f>
              <c:strCache>
                <c:ptCount val="1"/>
                <c:pt idx="0">
                  <c:v>No Returns Allowed?</c:v>
                </c:pt>
              </c:strCache>
            </c:strRef>
          </c:cat>
          <c:val>
            <c:numRef>
              <c:f>'return policy chart by count'!$B$4:$B$5</c:f>
              <c:numCache>
                <c:formatCode>General</c:formatCode>
                <c:ptCount val="1"/>
                <c:pt idx="0">
                  <c:v>400</c:v>
                </c:pt>
              </c:numCache>
            </c:numRef>
          </c:val>
          <c:extLst>
            <c:ext xmlns:c16="http://schemas.microsoft.com/office/drawing/2014/chart" uri="{C3380CC4-5D6E-409C-BE32-E72D297353CC}">
              <c16:uniqueId val="{00000001-E63E-4FD0-AB31-53D85F3627BC}"/>
            </c:ext>
          </c:extLst>
        </c:ser>
        <c:dLbls>
          <c:showLegendKey val="0"/>
          <c:showVal val="0"/>
          <c:showCatName val="0"/>
          <c:showSerName val="0"/>
          <c:showPercent val="0"/>
          <c:showBubbleSize val="0"/>
          <c:showLeaderLines val="1"/>
        </c:dLbls>
        <c:firstSliceAng val="0"/>
      </c:pieChart>
    </c:plotArea>
    <c:legend>
      <c:legendPos val="r"/>
      <c:overlay val="0"/>
      <c:txPr>
        <a:bodyPr/>
        <a:lstStyle/>
        <a:p>
          <a:pPr>
            <a:defRPr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innerShdw blurRad="114300">
        <a:prstClr val="black"/>
      </a:innerShdw>
    </a:effectLst>
    <a:scene3d>
      <a:camera prst="orthographicFront"/>
      <a:lightRig rig="morning" dir="t"/>
    </a:scene3d>
    <a:sp3d prstMaterial="metal">
      <a:bevelT w="101600" prst="riblet"/>
      <a:bevelB w="101600" prst="riblet"/>
    </a:sp3d>
  </c:spPr>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[ONLINE_BUSINESS.xlsx]plant type chart by count!PivotTable3</c:name>
    <c:fmtId val="0"/>
  </c:pivotSource>
  <c:chart>
    <c:title>
      <c:tx>
        <c:rich>
          <a:bodyPr/>
          <a:lstStyle/>
          <a:p>
            <a:pPr>
              <a:defRPr sz="1400"/>
            </a:pPr>
            <a:r>
              <a:rPr lang="en-US" sz="1400"/>
              <a:t>TYPES</a:t>
            </a:r>
            <a:r>
              <a:rPr lang="en-US" sz="1400" baseline="0"/>
              <a:t> OF PLANT AND THEIR COUNT</a:t>
            </a:r>
            <a:endParaRPr lang="en-US" sz="1400"/>
          </a:p>
        </c:rich>
      </c:tx>
      <c:overlay val="0"/>
    </c:title>
    <c:autoTitleDeleted val="0"/>
    <c:pivotFmts>
      <c:pivotFmt>
        <c:idx val="0"/>
        <c:spPr>
          <a:effectLst>
            <a:innerShdw blurRad="114300">
              <a:prstClr val="black">
                <a:alpha val="98000"/>
              </a:prstClr>
            </a:innerShdw>
          </a:effectLst>
          <a:scene3d>
            <a:camera prst="orthographicFront"/>
            <a:lightRig rig="threePt" dir="t"/>
          </a:scene3d>
          <a:sp3d prstMaterial="dkEdge">
            <a:bevelT prst="angle"/>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6.8697729988052569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3500837520938033E-3"/>
              <c:y val="-0.12843488649940268"/>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9.5579450418160114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6750418760469018E-3"/>
              <c:y val="-0.2449223416965352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0251256281407027E-3"/>
              <c:y val="-0.1194743130227001"/>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5.077658303464756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6750418760469018E-3"/>
              <c:y val="-0.2986857825567503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1463560334528077"/>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8.363201911589009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6750418760469018E-3"/>
              <c:y val="-9.5579450418160114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6.2724014336917572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3500837520938033E-3"/>
              <c:y val="-5.6750298685782546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'plant type chart by count'!$B$3</c:f>
              <c:strCache>
                <c:ptCount val="1"/>
                <c:pt idx="0">
                  <c:v>Total</c:v>
                </c:pt>
              </c:strCache>
            </c:strRef>
          </c:tx>
          <c:spPr>
            <a:effectLst>
              <a:innerShdw blurRad="114300">
                <a:prstClr val="black">
                  <a:alpha val="98000"/>
                </a:prstClr>
              </a:innerShdw>
            </a:effectLst>
            <a:scene3d>
              <a:camera prst="orthographicFront"/>
              <a:lightRig rig="threePt" dir="t"/>
            </a:scene3d>
            <a:sp3d prstMaterial="dkEdge">
              <a:bevelT prst="angle"/>
            </a:sp3d>
          </c:spPr>
          <c:invertIfNegative val="0"/>
          <c:dLbls>
            <c:dLbl>
              <c:idx val="0"/>
              <c:layout>
                <c:manualLayout>
                  <c:x val="0"/>
                  <c:y val="-6.8697729988052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48-47CC-BFFA-137982115FEA}"/>
                </c:ext>
              </c:extLst>
            </c:dLbl>
            <c:dLbl>
              <c:idx val="1"/>
              <c:layout>
                <c:manualLayout>
                  <c:x val="3.3500837520938033E-3"/>
                  <c:y val="-0.128434886499402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48-47CC-BFFA-137982115FEA}"/>
                </c:ext>
              </c:extLst>
            </c:dLbl>
            <c:dLbl>
              <c:idx val="2"/>
              <c:layout>
                <c:manualLayout>
                  <c:x val="0"/>
                  <c:y val="-9.5579450418160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48-47CC-BFFA-137982115FEA}"/>
                </c:ext>
              </c:extLst>
            </c:dLbl>
            <c:dLbl>
              <c:idx val="3"/>
              <c:layout>
                <c:manualLayout>
                  <c:x val="0"/>
                  <c:y val="-5.0776583034647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48-47CC-BFFA-137982115FEA}"/>
                </c:ext>
              </c:extLst>
            </c:dLbl>
            <c:dLbl>
              <c:idx val="4"/>
              <c:layout>
                <c:manualLayout>
                  <c:x val="-1.6750418760469018E-3"/>
                  <c:y val="-0.24492234169653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48-47CC-BFFA-137982115FEA}"/>
                </c:ext>
              </c:extLst>
            </c:dLbl>
            <c:dLbl>
              <c:idx val="5"/>
              <c:layout>
                <c:manualLayout>
                  <c:x val="5.0251256281407027E-3"/>
                  <c:y val="-0.1194743130227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48-47CC-BFFA-137982115FEA}"/>
                </c:ext>
              </c:extLst>
            </c:dLbl>
            <c:dLbl>
              <c:idx val="6"/>
              <c:layout>
                <c:manualLayout>
                  <c:x val="1.6750418760469018E-3"/>
                  <c:y val="-0.29868578255675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48-47CC-BFFA-137982115FEA}"/>
                </c:ext>
              </c:extLst>
            </c:dLbl>
            <c:dLbl>
              <c:idx val="7"/>
              <c:layout>
                <c:manualLayout>
                  <c:x val="0"/>
                  <c:y val="-0.1463560334528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48-47CC-BFFA-137982115FEA}"/>
                </c:ext>
              </c:extLst>
            </c:dLbl>
            <c:dLbl>
              <c:idx val="8"/>
              <c:layout>
                <c:manualLayout>
                  <c:x val="0"/>
                  <c:y val="-8.3632019115890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48-47CC-BFFA-137982115FEA}"/>
                </c:ext>
              </c:extLst>
            </c:dLbl>
            <c:dLbl>
              <c:idx val="9"/>
              <c:layout>
                <c:manualLayout>
                  <c:x val="1.6750418760469018E-3"/>
                  <c:y val="-9.5579450418160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48-47CC-BFFA-137982115FEA}"/>
                </c:ext>
              </c:extLst>
            </c:dLbl>
            <c:dLbl>
              <c:idx val="10"/>
              <c:layout>
                <c:manualLayout>
                  <c:x val="0"/>
                  <c:y val="-6.2724014336917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D48-47CC-BFFA-137982115FEA}"/>
                </c:ext>
              </c:extLst>
            </c:dLbl>
            <c:dLbl>
              <c:idx val="11"/>
              <c:layout>
                <c:manualLayout>
                  <c:x val="3.3500837520938033E-3"/>
                  <c:y val="-5.6750298685782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D48-47CC-BFFA-137982115FEA}"/>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'plant type chart by count'!$A$4:$A$16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'plant type chart by count'!$B$4:$B$16</c:f>
              <c:numCache>
                <c:formatCode>General</c:formatCode>
                <c:ptCount val="12"/>
                <c:pt idx="0">
                  <c:v>11</c:v>
                </c:pt>
                <c:pt idx="1">
                  <c:v>38</c:v>
                </c:pt>
                <c:pt idx="2">
                  <c:v>19</c:v>
                </c:pt>
                <c:pt idx="3">
                  <c:v>2</c:v>
                </c:pt>
                <c:pt idx="4">
                  <c:v>86</c:v>
                </c:pt>
                <c:pt idx="5">
                  <c:v>31</c:v>
                </c:pt>
                <c:pt idx="6">
                  <c:v>112</c:v>
                </c:pt>
                <c:pt idx="7">
                  <c:v>45</c:v>
                </c:pt>
                <c:pt idx="8">
                  <c:v>19</c:v>
                </c:pt>
                <c:pt idx="9">
                  <c:v>26</c:v>
                </c:pt>
                <c:pt idx="10">
                  <c:v>10</c:v>
                </c:pt>
                <c:pt idx="11">
                  <c:v>1</c:v>
                </c:pt>
              </c:numCache>
            </c:numRef>
          </c:val>
          <c:extLst>
            <c:ext xmlns:c16="http://schemas.microsoft.com/office/drawing/2014/chart" uri="{C3380CC4-5D6E-409C-BE32-E72D297353CC}">
              <c16:uniqueId val="{0000000C-6D48-47CC-BFFA-137982115FEA}"/>
            </c:ext>
          </c:extLst>
        </c:ser>
        <c:dLbls>
          <c:showLegendKey val="0"/>
          <c:showVal val="0"/>
          <c:showCatName val="0"/>
          <c:showSerName val="0"/>
          <c:showPercent val="0"/>
          <c:showBubbleSize val="0"/>
        </c:dLbls>
        <c:gapWidth val="150"/>
        <c:shape val="cylinder"/>
        <c:axId val="138726784"/>
        <c:axId val="139265152"/>
        <c:axId val="0"/>
      </c:bar3DChart>
      <c:catAx>
        <c:axId val="138726784"/>
        <c:scaling>
          <c:orientation val="minMax"/>
        </c:scaling>
        <c:delete val="0"/>
        <c:axPos val="b"/>
        <c:numFmt formatCode="General" sourceLinked="0"/>
        <c:majorTickMark val="out"/>
        <c:minorTickMark val="none"/>
        <c:tickLblPos val="nextTo"/>
        <c:txPr>
          <a:bodyPr/>
          <a:lstStyle/>
          <a:p>
            <a:pPr>
              <a:defRPr b="1"/>
            </a:pPr>
            <a:endParaRPr lang="en-US"/>
          </a:p>
        </c:txPr>
        <c:crossAx val="139265152"/>
        <c:crosses val="autoZero"/>
        <c:auto val="1"/>
        <c:lblAlgn val="ctr"/>
        <c:lblOffset val="100"/>
        <c:noMultiLvlLbl val="0"/>
      </c:catAx>
      <c:valAx>
        <c:axId val="139265152"/>
        <c:scaling>
          <c:orientation val="minMax"/>
        </c:scaling>
        <c:delete val="0"/>
        <c:axPos val="l"/>
        <c:majorGridlines/>
        <c:numFmt formatCode="General" sourceLinked="1"/>
        <c:majorTickMark val="out"/>
        <c:minorTickMark val="none"/>
        <c:tickLblPos val="nextTo"/>
        <c:txPr>
          <a:bodyPr/>
          <a:lstStyle/>
          <a:p>
            <a:pPr>
              <a:defRPr b="1"/>
            </a:pPr>
            <a:endParaRPr lang="en-US"/>
          </a:p>
        </c:txPr>
        <c:crossAx val="138726784"/>
        <c:crosses val="autoZero"/>
        <c:crossBetween val="between"/>
      </c:valAx>
    </c:plotArea>
    <c:legend>
      <c:legendPos val="r"/>
      <c:overlay val="0"/>
      <c:txPr>
        <a:bodyPr/>
        <a:lstStyle/>
        <a:p>
          <a:pPr>
            <a:defRPr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prstMaterial="dkEdge">
      <a:bevelT prst="relaxedInset"/>
      <a:bevelB prst="relaxedInset"/>
    </a:sp3d>
  </c:spPr>
  <c:printSettings>
    <c:headerFooter/>
    <c:pageMargins b="0.75000000000000011" l="0.70000000000000007" r="0.70000000000000007" t="0.75000000000000011" header="0.30000000000000004" footer="0.30000000000000004"/>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[ONLINE_BUSINESS.xlsx]life cycle chart by count!PivotTable4</c:name>
    <c:fmtId val="0"/>
  </c:pivotSource>
  <c:chart>
    <c:title>
      <c:tx>
        <c:rich>
          <a:bodyPr/>
          <a:lstStyle/>
          <a:p>
            <a:pPr>
              <a:defRPr sz="1400"/>
            </a:pPr>
            <a:r>
              <a:rPr lang="en-US" sz="1400"/>
              <a:t>LIFECYCLE</a:t>
            </a:r>
            <a:r>
              <a:rPr lang="en-US" sz="1400" baseline="0"/>
              <a:t> BY COUNT</a:t>
            </a:r>
            <a:endParaRPr lang="en-US" sz="1400"/>
          </a:p>
        </c:rich>
      </c:tx>
      <c:layout>
        <c:manualLayout>
          <c:xMode val="edge"/>
          <c:yMode val="edge"/>
          <c:x val="0.24446472019464721"/>
          <c:y val="7.130124777183601E-2"/>
        </c:manualLayout>
      </c:layout>
      <c:overlay val="0"/>
    </c:title>
    <c:autoTitleDeleted val="0"/>
    <c:pivotFmts>
      <c:pivotFmt>
        <c:idx val="0"/>
        <c:spPr>
          <a:scene3d>
            <a:camera prst="orthographicFront"/>
            <a:lightRig rig="twoPt" dir="t"/>
          </a:scene3d>
          <a:sp3d prstMaterial="dkEdge">
            <a:bevelT/>
            <a:bevelB prst="convex"/>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1.8477457501847748E-3"/>
              <c:y val="-2.9239766081871356E-3"/>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pivotFmt>
    </c:pivotFmts>
    <c:plotArea>
      <c:layout>
        <c:manualLayout>
          <c:layoutTarget val="inner"/>
          <c:xMode val="edge"/>
          <c:yMode val="edge"/>
          <c:x val="0.20646812856818622"/>
          <c:y val="0.18249735230464617"/>
          <c:w val="0.46220777973706734"/>
          <c:h val="0.73142353916286773"/>
        </c:manualLayout>
      </c:layout>
      <c:doughnutChart>
        <c:varyColors val="1"/>
        <c:ser>
          <c:idx val="0"/>
          <c:order val="0"/>
          <c:tx>
            <c:strRef>
              <c:f>'life cycle chart by count'!$B$3</c:f>
              <c:strCache>
                <c:ptCount val="1"/>
                <c:pt idx="0">
                  <c:v>Total</c:v>
                </c:pt>
              </c:strCache>
            </c:strRef>
          </c:tx>
          <c:spPr>
            <a:scene3d>
              <a:camera prst="orthographicFront"/>
              <a:lightRig rig="twoPt" dir="t"/>
            </a:scene3d>
            <a:sp3d prstMaterial="dkEdge">
              <a:bevelT/>
              <a:bevelB prst="convex"/>
            </a:sp3d>
          </c:spPr>
          <c:dLbls>
            <c:dLbl>
              <c:idx val="1"/>
              <c:layout>
                <c:manualLayout>
                  <c:x val="1.8477457501847748E-3"/>
                  <c:y val="-2.9239766081871356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586C-4735-A598-EE827A00D3E4}"/>
                </c:ext>
              </c:extLst>
            </c:dLbl>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showLeaderLines val="1"/>
            <c:extLst>
              <c:ext xmlns:c15="http://schemas.microsoft.com/office/drawing/2012/chart" uri="{CE6537A1-D6FC-4f65-9D91-7224C49458BB}"/>
            </c:extLst>
          </c:dLbls>
          <c:cat>
            <c:strRef>
              <c:f>'life cycle chart by count'!$A$4:$A$7</c:f>
              <c:strCache>
                <c:ptCount val="3"/>
                <c:pt idx="0">
                  <c:v>Annual</c:v>
                </c:pt>
                <c:pt idx="1">
                  <c:v>Biennial</c:v>
                </c:pt>
                <c:pt idx="2">
                  <c:v>Perennial</c:v>
                </c:pt>
              </c:strCache>
            </c:strRef>
          </c:cat>
          <c:val>
            <c:numRef>
              <c:f>'life cycle chart by count'!$B$4:$B$7</c:f>
              <c:numCache>
                <c:formatCode>General</c:formatCode>
                <c:ptCount val="3"/>
                <c:pt idx="0">
                  <c:v>197</c:v>
                </c:pt>
                <c:pt idx="1">
                  <c:v>25</c:v>
                </c:pt>
                <c:pt idx="2">
                  <c:v>178</c:v>
                </c:pt>
              </c:numCache>
            </c:numRef>
          </c:val>
          <c:extLst>
            <c:ext xmlns:c16="http://schemas.microsoft.com/office/drawing/2014/chart" uri="{C3380CC4-5D6E-409C-BE32-E72D297353CC}">
              <c16:uniqueId val="{00000001-586C-4735-A598-EE827A00D3E4}"/>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5134507161105979"/>
          <c:y val="0.46942694663167106"/>
          <c:w val="0.18726291740904649"/>
          <c:h val="0.25796349319971373"/>
        </c:manualLayout>
      </c:layout>
      <c:overlay val="0"/>
      <c:txPr>
        <a:bodyPr/>
        <a:lstStyle/>
        <a:p>
          <a:pPr>
            <a:defRPr sz="1100" b="1"/>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innerShdw blurRad="114300">
        <a:prstClr val="black">
          <a:alpha val="97000"/>
        </a:prstClr>
      </a:innerShdw>
    </a:effectLst>
    <a:scene3d>
      <a:camera prst="orthographicFront"/>
      <a:lightRig rig="morning" dir="t"/>
    </a:scene3d>
    <a:sp3d prstMaterial="metal">
      <a:bevelT w="165100" prst="coolSlant"/>
      <a:bevelB w="165100" prst="coolSlant"/>
    </a:sp3d>
  </c:spPr>
  <c:printSettings>
    <c:headerFooter/>
    <c:pageMargins b="0.75000000000000011" l="0.70000000000000007" r="0.70000000000000007" t="0.75000000000000011" header="0.30000000000000004" footer="0.30000000000000004"/>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[ONLINE_BUSINESS.xlsx]location chart by name!PivotTable5</c:name>
    <c:fmtId val="2"/>
  </c:pivotSource>
  <c:chart>
    <c:title>
      <c:tx>
        <c:rich>
          <a:bodyPr/>
          <a:lstStyle/>
          <a:p>
            <a:pPr>
              <a:defRPr sz="1400"/>
            </a:pPr>
            <a:r>
              <a:rPr lang="en-US" sz="1400"/>
              <a:t>LOCATION</a:t>
            </a:r>
            <a:r>
              <a:rPr lang="en-US" sz="1400" baseline="0"/>
              <a:t> BY COUNT</a:t>
            </a:r>
            <a:endParaRPr lang="en-US" sz="1400"/>
          </a:p>
        </c:rich>
      </c:tx>
      <c:overlay val="0"/>
    </c:title>
    <c:autoTitleDeleted val="0"/>
    <c:pivotFmts>
      <c:pivotFmt>
        <c:idx val="0"/>
        <c:spPr>
          <a:effectLst>
            <a:innerShdw blurRad="114300">
              <a:prstClr val="black"/>
            </a:innerShdw>
          </a:effectLst>
          <a:scene3d>
            <a:camera prst="orthographicFront"/>
            <a:lightRig rig="threePt" dir="t"/>
          </a:scene3d>
          <a:sp3d prstMaterial="dkEdge">
            <a:bevelT prst="angle"/>
            <a:bevelB/>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9.2592592592592629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70006680026659E-3"/>
              <c:y val="-0.15795206971677564"/>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37581699346405251"/>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'location chart by name'!$B$3</c:f>
              <c:strCache>
                <c:ptCount val="1"/>
                <c:pt idx="0">
                  <c:v>Total</c:v>
                </c:pt>
              </c:strCache>
            </c:strRef>
          </c:tx>
          <c:spPr>
            <a:effectLst>
              <a:innerShdw blurRad="114300">
                <a:prstClr val="black"/>
              </a:innerShdw>
            </a:effectLst>
            <a:scene3d>
              <a:camera prst="orthographicFront"/>
              <a:lightRig rig="threePt" dir="t"/>
            </a:scene3d>
            <a:sp3d prstMaterial="dkEdge">
              <a:bevelT prst="angle"/>
              <a:bevelB/>
            </a:sp3d>
          </c:spPr>
          <c:invertIfNegative val="0"/>
          <c:dLbls>
            <c:dLbl>
              <c:idx val="0"/>
              <c:layout>
                <c:manualLayout>
                  <c:x val="0"/>
                  <c:y val="-0.375816993464052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BA-4074-9BF0-484024695419}"/>
                </c:ext>
              </c:extLst>
            </c:dLbl>
            <c:dLbl>
              <c:idx val="1"/>
              <c:layout>
                <c:manualLayout>
                  <c:x val="1.670006680026659E-3"/>
                  <c:y val="-0.15795206971677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BA-4074-9BF0-484024695419}"/>
                </c:ext>
              </c:extLst>
            </c:dLbl>
            <c:dLbl>
              <c:idx val="2"/>
              <c:layout>
                <c:manualLayout>
                  <c:x val="0"/>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BA-4074-9BF0-484024695419}"/>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'location chart by name'!$A$4:$A$7</c:f>
              <c:strCache>
                <c:ptCount val="3"/>
                <c:pt idx="0">
                  <c:v>Both</c:v>
                </c:pt>
                <c:pt idx="1">
                  <c:v>Indoor</c:v>
                </c:pt>
                <c:pt idx="2">
                  <c:v>Outdoor</c:v>
                </c:pt>
              </c:strCache>
            </c:strRef>
          </c:cat>
          <c:val>
            <c:numRef>
              <c:f>'location chart by name'!$B$4:$B$7</c:f>
              <c:numCache>
                <c:formatCode>General</c:formatCode>
                <c:ptCount val="3"/>
                <c:pt idx="0">
                  <c:v>312</c:v>
                </c:pt>
                <c:pt idx="1">
                  <c:v>86</c:v>
                </c:pt>
                <c:pt idx="2">
                  <c:v>2</c:v>
                </c:pt>
              </c:numCache>
            </c:numRef>
          </c:val>
          <c:extLst>
            <c:ext xmlns:c16="http://schemas.microsoft.com/office/drawing/2014/chart" uri="{C3380CC4-5D6E-409C-BE32-E72D297353CC}">
              <c16:uniqueId val="{00000003-4ABA-4074-9BF0-484024695419}"/>
            </c:ext>
          </c:extLst>
        </c:ser>
        <c:dLbls>
          <c:showLegendKey val="0"/>
          <c:showVal val="0"/>
          <c:showCatName val="0"/>
          <c:showSerName val="0"/>
          <c:showPercent val="0"/>
          <c:showBubbleSize val="0"/>
        </c:dLbls>
        <c:gapWidth val="150"/>
        <c:shape val="cylinder"/>
        <c:axId val="139421184"/>
        <c:axId val="139422720"/>
        <c:axId val="0"/>
      </c:bar3DChart>
      <c:catAx>
        <c:axId val="139421184"/>
        <c:scaling>
          <c:orientation val="minMax"/>
        </c:scaling>
        <c:delete val="0"/>
        <c:axPos val="b"/>
        <c:numFmt formatCode="General" sourceLinked="0"/>
        <c:majorTickMark val="out"/>
        <c:minorTickMark val="none"/>
        <c:tickLblPos val="nextTo"/>
        <c:txPr>
          <a:bodyPr/>
          <a:lstStyle/>
          <a:p>
            <a:pPr>
              <a:defRPr b="1"/>
            </a:pPr>
            <a:endParaRPr lang="en-US"/>
          </a:p>
        </c:txPr>
        <c:crossAx val="139422720"/>
        <c:crosses val="autoZero"/>
        <c:auto val="1"/>
        <c:lblAlgn val="ctr"/>
        <c:lblOffset val="100"/>
        <c:noMultiLvlLbl val="0"/>
      </c:catAx>
      <c:valAx>
        <c:axId val="139422720"/>
        <c:scaling>
          <c:orientation val="minMax"/>
        </c:scaling>
        <c:delete val="0"/>
        <c:axPos val="l"/>
        <c:majorGridlines/>
        <c:numFmt formatCode="General" sourceLinked="1"/>
        <c:majorTickMark val="out"/>
        <c:minorTickMark val="none"/>
        <c:tickLblPos val="nextTo"/>
        <c:txPr>
          <a:bodyPr/>
          <a:lstStyle/>
          <a:p>
            <a:pPr>
              <a:defRPr b="1"/>
            </a:pPr>
            <a:endParaRPr lang="en-US"/>
          </a:p>
        </c:txPr>
        <c:crossAx val="139421184"/>
        <c:crosses val="autoZero"/>
        <c:crossBetween val="between"/>
      </c:valAx>
    </c:plotArea>
    <c:legend>
      <c:legendPos val="r"/>
      <c:overlay val="0"/>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prstMaterial="dkEdge">
      <a:bevelT prst="convex"/>
      <a:bevelB prst="relaxedInset"/>
    </a:sp3d>
  </c:spPr>
  <c:printSettings>
    <c:headerFooter/>
    <c:pageMargins b="0.75000000000000011" l="0.70000000000000007" r="0.70000000000000007" t="0.75000000000000011" header="0.30000000000000004" footer="0.30000000000000004"/>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[ONLINE_BUSINESS.xlsx]feng shui chart by count!PivotTable6</c:name>
    <c:fmtId val="1"/>
  </c:pivotSource>
  <c:chart>
    <c:title>
      <c:tx>
        <c:rich>
          <a:bodyPr/>
          <a:lstStyle/>
          <a:p>
            <a:pPr>
              <a:defRPr sz="1400"/>
            </a:pPr>
            <a:r>
              <a:rPr lang="en-US" sz="1400"/>
              <a:t>FENG</a:t>
            </a:r>
            <a:r>
              <a:rPr lang="en-US" sz="1400" baseline="0"/>
              <a:t> SHUI BY COUNT</a:t>
            </a:r>
          </a:p>
        </c:rich>
      </c:tx>
      <c:layout>
        <c:manualLayout>
          <c:xMode val="edge"/>
          <c:yMode val="edge"/>
          <c:x val="0.26000571755288737"/>
          <c:y val="9.5238095238095233E-2"/>
        </c:manualLayout>
      </c:layout>
      <c:overlay val="0"/>
    </c:title>
    <c:autoTitleDeleted val="0"/>
    <c:pivotFmts>
      <c:pivotFmt>
        <c:idx val="0"/>
        <c:spPr>
          <a:scene3d>
            <a:camera prst="orthographicFront"/>
            <a:lightRig rig="threePt" dir="t"/>
          </a:scene3d>
          <a:sp3d>
            <a:bevelT w="114300" prst="artDeco"/>
            <a:bevelB/>
          </a:sp3d>
        </c:spPr>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s>
    <c:view3D>
      <c:rotX val="30"/>
      <c:rotY val="0"/>
      <c:rAngAx val="0"/>
    </c:view3D>
    <c:floor>
      <c:thickness val="0"/>
    </c:floor>
    <c:sideWall>
      <c:thickness val="0"/>
    </c:sideWall>
    <c:backWall>
      <c:thickness val="0"/>
    </c:backWall>
    <c:plotArea>
      <c:layout/>
      <c:pie3DChart>
        <c:varyColors val="1"/>
        <c:ser>
          <c:idx val="0"/>
          <c:order val="0"/>
          <c:tx>
            <c:strRef>
              <c:f>'feng shui chart by count'!$B$3</c:f>
              <c:strCache>
                <c:ptCount val="1"/>
                <c:pt idx="0">
                  <c:v>Total</c:v>
                </c:pt>
              </c:strCache>
            </c:strRef>
          </c:tx>
          <c:spPr>
            <a:scene3d>
              <a:camera prst="orthographicFront"/>
              <a:lightRig rig="threePt" dir="t"/>
            </a:scene3d>
            <a:sp3d>
              <a:bevelT w="114300" prst="artDeco"/>
              <a:bevelB/>
            </a:sp3d>
          </c:spPr>
          <c:explosion val="10"/>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'feng shui chart by count'!$A$4:$A$6</c:f>
              <c:strCache>
                <c:ptCount val="2"/>
                <c:pt idx="0">
                  <c:v>No</c:v>
                </c:pt>
                <c:pt idx="1">
                  <c:v>Yes</c:v>
                </c:pt>
              </c:strCache>
            </c:strRef>
          </c:cat>
          <c:val>
            <c:numRef>
              <c:f>'feng shui chart by count'!$B$4:$B$6</c:f>
              <c:numCache>
                <c:formatCode>General</c:formatCode>
                <c:ptCount val="2"/>
                <c:pt idx="0">
                  <c:v>186</c:v>
                </c:pt>
                <c:pt idx="1">
                  <c:v>214</c:v>
                </c:pt>
              </c:numCache>
            </c:numRef>
          </c:val>
          <c:extLst>
            <c:ext xmlns:c16="http://schemas.microsoft.com/office/drawing/2014/chart" uri="{C3380CC4-5D6E-409C-BE32-E72D297353CC}">
              <c16:uniqueId val="{00000000-C6BD-4BD1-869E-96D09530898C}"/>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innerShdw blurRad="114300">
        <a:prstClr val="black">
          <a:alpha val="97000"/>
        </a:prstClr>
      </a:innerShdw>
    </a:effectLst>
    <a:scene3d>
      <a:camera prst="orthographicFront"/>
      <a:lightRig rig="threePt" dir="t"/>
    </a:scene3d>
    <a:sp3d prstMaterial="dkEdge">
      <a:bevelT prst="relaxedInset"/>
      <a:bevelB prst="slope"/>
    </a:sp3d>
  </c:spPr>
  <c:printSettings>
    <c:headerFooter/>
    <c:pageMargins b="0.75000000000000011" l="0.70000000000000007" r="0.70000000000000007" t="0.75000000000000011" header="0.30000000000000004" footer="0.30000000000000004"/>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[ONLINE_BUSINESS.xlsx]hybride chart by count!PivotTable7</c:name>
    <c:fmtId val="0"/>
  </c:pivotSource>
  <c:chart>
    <c:title>
      <c:tx>
        <c:rich>
          <a:bodyPr/>
          <a:lstStyle/>
          <a:p>
            <a:pPr>
              <a:defRPr/>
            </a:pPr>
            <a:r>
              <a:rPr lang="en-US"/>
              <a:t>hybrid</a:t>
            </a:r>
            <a:r>
              <a:rPr lang="en-US" baseline="0"/>
              <a:t> by count</a:t>
            </a:r>
          </a:p>
        </c:rich>
      </c:tx>
      <c:overlay val="0"/>
    </c:title>
    <c:autoTitleDeleted val="0"/>
    <c:pivotFmts>
      <c:pivotFmt>
        <c:idx val="0"/>
        <c:spPr>
          <a:scene3d>
            <a:camera prst="orthographicFront"/>
            <a:lightRig rig="threePt" dir="t"/>
          </a:scene3d>
          <a:sp3d prstMaterial="dkEdge">
            <a:bevelT prst="convex"/>
            <a:bevelB w="152400" h="50800" prst="softRound"/>
          </a:sp3d>
        </c:spPr>
        <c:marker>
          <c:symbol val="none"/>
        </c:marker>
        <c:dLbl>
          <c:idx val="0"/>
          <c:spPr/>
          <c:txPr>
            <a:bodyPr/>
            <a:lstStyle/>
            <a:p>
              <a:pPr>
                <a:defRPr sz="105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cene3d>
            <a:camera prst="orthographicFront"/>
            <a:lightRig rig="morning" dir="t"/>
          </a:scene3d>
          <a:sp3d prstMaterial="metal">
            <a:bevelT prst="relaxedInset"/>
            <a:bevelB w="152400" h="50800" prst="softRound"/>
          </a:sp3d>
        </c:spPr>
        <c:dLbl>
          <c:idx val="0"/>
          <c:layout>
            <c:manualLayout>
              <c:x val="7.7431086765351681E-2"/>
              <c:y val="-0.2072247615572855"/>
            </c:manualLayout>
          </c:layout>
          <c:spPr/>
          <c:txPr>
            <a:bodyPr/>
            <a:lstStyle/>
            <a:p>
              <a:pPr>
                <a:defRPr sz="105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1360950827966346E-2"/>
              <c:y val="0.1608346348990157"/>
            </c:manualLayout>
          </c:layout>
          <c:spPr/>
          <c:txPr>
            <a:bodyPr/>
            <a:lstStyle/>
            <a:p>
              <a:pPr>
                <a:defRPr sz="105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2020997375324"/>
          <c:y val="0.19895851560221639"/>
          <c:w val="0.45284711286089241"/>
          <c:h val="0.7547451881014875"/>
        </c:manualLayout>
      </c:layout>
      <c:pieChart>
        <c:varyColors val="1"/>
        <c:ser>
          <c:idx val="0"/>
          <c:order val="0"/>
          <c:tx>
            <c:strRef>
              <c:f>'hybride chart by count'!$B$3</c:f>
              <c:strCache>
                <c:ptCount val="1"/>
                <c:pt idx="0">
                  <c:v>Total</c:v>
                </c:pt>
              </c:strCache>
            </c:strRef>
          </c:tx>
          <c:spPr>
            <a:scene3d>
              <a:camera prst="orthographicFront"/>
              <a:lightRig rig="threePt" dir="t"/>
            </a:scene3d>
            <a:sp3d prstMaterial="dkEdge">
              <a:bevelT prst="convex"/>
              <a:bevelB w="152400" h="50800" prst="softRound"/>
            </a:sp3d>
          </c:spPr>
          <c:explosion val="10"/>
          <c:dPt>
            <c:idx val="1"/>
            <c:bubble3D val="0"/>
            <c:spPr>
              <a:scene3d>
                <a:camera prst="orthographicFront"/>
                <a:lightRig rig="morning" dir="t"/>
              </a:scene3d>
              <a:sp3d prstMaterial="metal">
                <a:bevelT prst="relaxedInset"/>
                <a:bevelB w="152400" h="50800" prst="softRound"/>
              </a:sp3d>
            </c:spPr>
            <c:extLst>
              <c:ext xmlns:c16="http://schemas.microsoft.com/office/drawing/2014/chart" uri="{C3380CC4-5D6E-409C-BE32-E72D297353CC}">
                <c16:uniqueId val="{00000000-CC8E-4987-9FF4-8F2BB04C18FA}"/>
              </c:ext>
            </c:extLst>
          </c:dPt>
          <c:dLbls>
            <c:dLbl>
              <c:idx val="0"/>
              <c:layout>
                <c:manualLayout>
                  <c:x val="-6.1360950827966346E-2"/>
                  <c:y val="0.1608346348990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8E-4987-9FF4-8F2BB04C18FA}"/>
                </c:ext>
              </c:extLst>
            </c:dLbl>
            <c:dLbl>
              <c:idx val="1"/>
              <c:layout>
                <c:manualLayout>
                  <c:x val="7.7431086765351681E-2"/>
                  <c:y val="-0.2072247615572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8E-4987-9FF4-8F2BB04C18FA}"/>
                </c:ext>
              </c:extLst>
            </c:dLbl>
            <c:spPr/>
            <c:txPr>
              <a:bodyPr/>
              <a:lstStyle/>
              <a:p>
                <a:pPr>
                  <a:defRPr sz="1050" b="1"/>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'hybride chart by count'!$A$4:$A$6</c:f>
              <c:strCache>
                <c:ptCount val="2"/>
                <c:pt idx="0">
                  <c:v>No</c:v>
                </c:pt>
                <c:pt idx="1">
                  <c:v>Yes</c:v>
                </c:pt>
              </c:strCache>
            </c:strRef>
          </c:cat>
          <c:val>
            <c:numRef>
              <c:f>'hybride chart by count'!$B$4:$B$6</c:f>
              <c:numCache>
                <c:formatCode>General</c:formatCode>
                <c:ptCount val="2"/>
                <c:pt idx="0">
                  <c:v>69</c:v>
                </c:pt>
                <c:pt idx="1">
                  <c:v>331</c:v>
                </c:pt>
              </c:numCache>
            </c:numRef>
          </c:val>
          <c:extLst>
            <c:ext xmlns:c16="http://schemas.microsoft.com/office/drawing/2014/chart" uri="{C3380CC4-5D6E-409C-BE32-E72D297353CC}">
              <c16:uniqueId val="{00000002-CC8E-4987-9FF4-8F2BB04C18FA}"/>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a:bevelT/>
      <a:bevelB prst="relaxedInset"/>
    </a:sp3d>
  </c:spPr>
  <c:printSettings>
    <c:headerFooter/>
    <c:pageMargins b="0.75000000000000011" l="0.70000000000000007" r="0.70000000000000007" t="0.75000000000000011" header="0.30000000000000004" footer="0.30000000000000004"/>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[ONLINE_BUSINESS.xlsx]top 10 brand!PivotTable8</c:name>
    <c:fmtId val="2"/>
  </c:pivotSource>
  <c:chart>
    <c:title>
      <c:tx>
        <c:rich>
          <a:bodyPr/>
          <a:lstStyle/>
          <a:p>
            <a:pPr>
              <a:defRPr/>
            </a:pPr>
            <a:r>
              <a:rPr lang="en-US"/>
              <a:t>TOP</a:t>
            </a:r>
            <a:r>
              <a:rPr lang="en-US" baseline="0"/>
              <a:t> 10 BRANDS</a:t>
            </a:r>
          </a:p>
        </c:rich>
      </c:tx>
      <c:overlay val="0"/>
    </c:title>
    <c:autoTitleDeleted val="0"/>
    <c:pivotFmts>
      <c:pivotFmt>
        <c:idx val="0"/>
        <c:spPr>
          <a:effectLst>
            <a:innerShdw blurRad="63500" dist="50800" dir="2700000">
              <a:prstClr val="black">
                <a:alpha val="50000"/>
              </a:prstClr>
            </a:innerShdw>
          </a:effectLst>
          <a:scene3d>
            <a:camera prst="orthographicFront"/>
            <a:lightRig rig="threePt" dir="t"/>
          </a:scene3d>
          <a:sp3d prstMaterial="dkEdge">
            <a:bevelT w="101600" prst="riblet"/>
          </a:sp3d>
        </c:spPr>
        <c:marker>
          <c:symbol val="none"/>
        </c:marker>
        <c:dLbl>
          <c:idx val="0"/>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0399836801305591E-3"/>
              <c:y val="-0.16816143497757841"/>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079967360261119E-3"/>
              <c:y val="-0.13826606875934225"/>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0399836801305591E-3"/>
              <c:y val="-9.3423019431988039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0399836801305591E-3"/>
              <c:y val="-8.221225710014948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0399836801305591E-3"/>
              <c:y val="-8.221225710014948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0399836801305591E-3"/>
              <c:y val="-8.594917787742892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802690582959641"/>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8.9686098654708529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798537525698938E-17"/>
              <c:y val="-8.2212257100149524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0399836801305591E-3"/>
              <c:y val="-0.16068759342301939"/>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0399836801305591E-3"/>
              <c:y val="-7.1001494768310983E-2"/>
            </c:manualLayout>
          </c:layout>
          <c:spPr/>
          <c:txPr>
            <a:bodyPr rot="0" vert="horz" anchor="t" anchorCtr="0"/>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'top 10 brand'!$B$3</c:f>
              <c:strCache>
                <c:ptCount val="1"/>
                <c:pt idx="0">
                  <c:v>Total</c:v>
                </c:pt>
              </c:strCache>
            </c:strRef>
          </c:tx>
          <c:spPr>
            <a:effectLst>
              <a:innerShdw blurRad="63500" dist="50800" dir="2700000">
                <a:prstClr val="black">
                  <a:alpha val="50000"/>
                </a:prstClr>
              </a:innerShdw>
            </a:effectLst>
            <a:scene3d>
              <a:camera prst="orthographicFront"/>
              <a:lightRig rig="threePt" dir="t"/>
            </a:scene3d>
            <a:sp3d prstMaterial="dkEdge">
              <a:bevelT w="101600" prst="riblet"/>
            </a:sp3d>
          </c:spPr>
          <c:invertIfNegative val="0"/>
          <c:dLbls>
            <c:dLbl>
              <c:idx val="0"/>
              <c:layout>
                <c:manualLayout>
                  <c:x val="4.079967360261119E-3"/>
                  <c:y val="-0.13826606875934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54-4E46-BF34-65CE82FE37C3}"/>
                </c:ext>
              </c:extLst>
            </c:dLbl>
            <c:dLbl>
              <c:idx val="1"/>
              <c:layout>
                <c:manualLayout>
                  <c:x val="2.0399836801305591E-3"/>
                  <c:y val="-9.3423019431988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54-4E46-BF34-65CE82FE37C3}"/>
                </c:ext>
              </c:extLst>
            </c:dLbl>
            <c:dLbl>
              <c:idx val="2"/>
              <c:layout>
                <c:manualLayout>
                  <c:x val="2.0399836801305591E-3"/>
                  <c:y val="-0.16816143497757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54-4E46-BF34-65CE82FE37C3}"/>
                </c:ext>
              </c:extLst>
            </c:dLbl>
            <c:dLbl>
              <c:idx val="3"/>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54-4E46-BF34-65CE82FE37C3}"/>
                </c:ext>
              </c:extLst>
            </c:dLbl>
            <c:dLbl>
              <c:idx val="4"/>
              <c:layout>
                <c:manualLayout>
                  <c:x val="-2.0399836801305591E-3"/>
                  <c:y val="-8.22122571001494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54-4E46-BF34-65CE82FE37C3}"/>
                </c:ext>
              </c:extLst>
            </c:dLbl>
            <c:dLbl>
              <c:idx val="5"/>
              <c:layout>
                <c:manualLayout>
                  <c:x val="-2.0399836801305591E-3"/>
                  <c:y val="-8.5949177877428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54-4E46-BF34-65CE82FE37C3}"/>
                </c:ext>
              </c:extLst>
            </c:dLbl>
            <c:dLbl>
              <c:idx val="6"/>
              <c:layout>
                <c:manualLayout>
                  <c:x val="0"/>
                  <c:y val="-0.2802690582959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54-4E46-BF34-65CE82FE37C3}"/>
                </c:ext>
              </c:extLst>
            </c:dLbl>
            <c:dLbl>
              <c:idx val="7"/>
              <c:layout>
                <c:manualLayout>
                  <c:x val="0"/>
                  <c:y val="-8.9686098654708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54-4E46-BF34-65CE82FE37C3}"/>
                </c:ext>
              </c:extLst>
            </c:dLbl>
            <c:dLbl>
              <c:idx val="8"/>
              <c:layout>
                <c:manualLayout>
                  <c:x val="7.4798537525698938E-17"/>
                  <c:y val="-8.2212257100149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54-4E46-BF34-65CE82FE37C3}"/>
                </c:ext>
              </c:extLst>
            </c:dLbl>
            <c:dLbl>
              <c:idx val="9"/>
              <c:layout>
                <c:manualLayout>
                  <c:x val="2.0399836801305591E-3"/>
                  <c:y val="-0.160687593423019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54-4E46-BF34-65CE82FE37C3}"/>
                </c:ext>
              </c:extLst>
            </c:dLbl>
            <c:dLbl>
              <c:idx val="10"/>
              <c:layout>
                <c:manualLayout>
                  <c:x val="-2.0399836801305591E-3"/>
                  <c:y val="-7.1001494768310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54-4E46-BF34-65CE82FE37C3}"/>
                </c:ext>
              </c:extLst>
            </c:dLbl>
            <c:spPr/>
            <c:txPr>
              <a:bodyPr rot="0" vert="horz" anchor="t" anchorCtr="0"/>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brand'!$A$4:$A$15</c:f>
              <c:strCache>
                <c:ptCount val="11"/>
                <c:pt idx="0">
                  <c:v>AloGardening</c:v>
                </c:pt>
                <c:pt idx="1">
                  <c:v>AquinnahGaden</c:v>
                </c:pt>
                <c:pt idx="2">
                  <c:v>Cloud Farm</c:v>
                </c:pt>
                <c:pt idx="3">
                  <c:v>EVY</c:v>
                </c:pt>
                <c:pt idx="4">
                  <c:v>FSK</c:v>
                </c:pt>
                <c:pt idx="5">
                  <c:v>Green view</c:v>
                </c:pt>
                <c:pt idx="6">
                  <c:v>greenhousestore</c:v>
                </c:pt>
                <c:pt idx="7">
                  <c:v>LaughEarth</c:v>
                </c:pt>
                <c:pt idx="8">
                  <c:v>PLANTTOOZS</c:v>
                </c:pt>
                <c:pt idx="9">
                  <c:v>UGAOO</c:v>
                </c:pt>
                <c:pt idx="10">
                  <c:v>Ukanda</c:v>
                </c:pt>
              </c:strCache>
            </c:strRef>
          </c:cat>
          <c:val>
            <c:numRef>
              <c:f>'top 10 brand'!$B$4:$B$15</c:f>
              <c:numCache>
                <c:formatCode>General</c:formatCode>
                <c:ptCount val="11"/>
                <c:pt idx="0">
                  <c:v>17</c:v>
                </c:pt>
                <c:pt idx="1">
                  <c:v>9</c:v>
                </c:pt>
                <c:pt idx="2">
                  <c:v>28</c:v>
                </c:pt>
                <c:pt idx="3">
                  <c:v>7</c:v>
                </c:pt>
                <c:pt idx="4">
                  <c:v>7</c:v>
                </c:pt>
                <c:pt idx="5">
                  <c:v>8</c:v>
                </c:pt>
                <c:pt idx="6">
                  <c:v>53</c:v>
                </c:pt>
                <c:pt idx="7">
                  <c:v>9</c:v>
                </c:pt>
                <c:pt idx="8">
                  <c:v>6</c:v>
                </c:pt>
                <c:pt idx="9">
                  <c:v>29</c:v>
                </c:pt>
                <c:pt idx="10">
                  <c:v>6</c:v>
                </c:pt>
              </c:numCache>
            </c:numRef>
          </c:val>
          <c:extLst>
            <c:ext xmlns:c16="http://schemas.microsoft.com/office/drawing/2014/chart" uri="{C3380CC4-5D6E-409C-BE32-E72D297353CC}">
              <c16:uniqueId val="{0000000B-1054-4E46-BF34-65CE82FE37C3}"/>
            </c:ext>
          </c:extLst>
        </c:ser>
        <c:dLbls>
          <c:showLegendKey val="0"/>
          <c:showVal val="0"/>
          <c:showCatName val="0"/>
          <c:showSerName val="0"/>
          <c:showPercent val="0"/>
          <c:showBubbleSize val="0"/>
        </c:dLbls>
        <c:gapWidth val="150"/>
        <c:shape val="box"/>
        <c:axId val="139838208"/>
        <c:axId val="139839744"/>
        <c:axId val="0"/>
      </c:bar3DChart>
      <c:catAx>
        <c:axId val="139838208"/>
        <c:scaling>
          <c:orientation val="minMax"/>
        </c:scaling>
        <c:delete val="0"/>
        <c:axPos val="b"/>
        <c:numFmt formatCode="General" sourceLinked="0"/>
        <c:majorTickMark val="out"/>
        <c:minorTickMark val="none"/>
        <c:tickLblPos val="nextTo"/>
        <c:crossAx val="139839744"/>
        <c:crosses val="autoZero"/>
        <c:auto val="1"/>
        <c:lblAlgn val="ctr"/>
        <c:lblOffset val="100"/>
        <c:noMultiLvlLbl val="0"/>
      </c:catAx>
      <c:valAx>
        <c:axId val="139839744"/>
        <c:scaling>
          <c:orientation val="minMax"/>
        </c:scaling>
        <c:delete val="0"/>
        <c:axPos val="l"/>
        <c:majorGridlines/>
        <c:numFmt formatCode="General" sourceLinked="1"/>
        <c:majorTickMark val="out"/>
        <c:minorTickMark val="none"/>
        <c:tickLblPos val="nextTo"/>
        <c:crossAx val="139838208"/>
        <c:crosses val="autoZero"/>
        <c:crossBetween val="between"/>
      </c:valAx>
    </c:plotArea>
    <c:legend>
      <c:legendPos val="r"/>
      <c:overlay val="0"/>
    </c:legend>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prstMaterial="metal">
      <a:bevelT w="101600" prst="riblet"/>
      <a:bevelB w="101600" prst="riblet"/>
    </a:sp3d>
  </c:spPr>
  <c:printSettings>
    <c:headerFooter/>
    <c:pageMargins b="0.75000000000000011" l="0.70000000000000007" r="0.70000000000000007" t="0.75000000000000011" header="0.30000000000000004" footer="0.30000000000000004"/>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402D59C3-4D44-43ED-9FC9-EF0F188FCFE3}">
          <cx:tx>
            <cx:txData>
              <cx:f>_xlchart.v1.0</cx:f>
              <cx:v>special price</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chart>
  <cx:spPr>
    <a:gradFill>
      <a:gsLst>
        <a:gs pos="0">
          <a:srgbClr val="5E9EFF"/>
        </a:gs>
        <a:gs pos="39999">
          <a:srgbClr val="85C2FF"/>
        </a:gs>
        <a:gs pos="70000">
          <a:srgbClr val="C4D6EB"/>
        </a:gs>
        <a:gs pos="100000">
          <a:srgbClr val="FFEBFA"/>
        </a:gs>
      </a:gsLst>
      <a:lin ang="5400000" scaled="0"/>
    </a:gradFill>
    <a:effectLst>
      <a:outerShdw blurRad="63500" sx="102000" sy="102000" algn="ctr" rotWithShape="0">
        <a:prstClr val="black">
          <a:alpha val="40000"/>
        </a:prstClr>
      </a:outerShdw>
      <a:softEdge rad="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32A8EA10-3BDD-4F45-820A-36AD63E37E69}">
          <cx:tx>
            <cx:txData>
              <cx:f>_xlchart.v1.2</cx:f>
              <cx:v>special price</cx:v>
            </cx:txData>
          </cx:tx>
          <cx:dataLabels pos="inEnd">
            <cx:visibility seriesName="0" categoryName="0" value="1"/>
          </cx:dataLabels>
          <cx:dataId val="0"/>
          <cx:layoutPr>
            <cx:binning intervalClosed="r"/>
          </cx:layoutPr>
        </cx:series>
      </cx:plotAreaRegion>
      <cx:axis id="0">
        <cx:catScaling gapWidth="0"/>
        <cx:tickLabels/>
        <cx:spPr>
          <a:effectLst>
            <a:outerShdw blurRad="50800" dist="50800" dir="5400000" algn="ctr" rotWithShape="0">
              <a:srgbClr val="000099"/>
            </a:outerShdw>
          </a:effectLst>
        </cx:spPr>
      </cx:axis>
      <cx:axis id="1" hidden="1">
        <cx:valScaling/>
        <cx:majorGridlines/>
        <cx:tickLabels/>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68131</xdr:colOff>
      <xdr:row>1</xdr:row>
      <xdr:rowOff>39444</xdr:rowOff>
    </xdr:from>
    <xdr:to>
      <xdr:col>26</xdr:col>
      <xdr:colOff>595922</xdr:colOff>
      <xdr:row>4</xdr:row>
      <xdr:rowOff>166077</xdr:rowOff>
    </xdr:to>
    <xdr:sp macro="" textlink="">
      <xdr:nvSpPr>
        <xdr:cNvPr id="3" name="Rounded Rectangle 2">
          <a:extLst>
            <a:ext uri="{FF2B5EF4-FFF2-40B4-BE49-F238E27FC236}">
              <a16:creationId xmlns:a16="http://schemas.microsoft.com/office/drawing/2014/main" id="{00000000-0008-0000-0A00-000003000000}"/>
            </a:ext>
          </a:extLst>
        </xdr:cNvPr>
        <xdr:cNvSpPr/>
      </xdr:nvSpPr>
      <xdr:spPr>
        <a:xfrm>
          <a:off x="68131" y="234829"/>
          <a:ext cx="18053791" cy="712786"/>
        </a:xfrm>
        <a:prstGeom prst="roundRect">
          <a:avLst/>
        </a:prstGeom>
        <a:solidFill>
          <a:schemeClr val="accent4">
            <a:lumMod val="60000"/>
            <a:lumOff val="40000"/>
          </a:schemeClr>
        </a:solidFill>
        <a:ln>
          <a:solidFill>
            <a:schemeClr val="accent1"/>
          </a:solidFill>
        </a:ln>
      </xdr:spPr>
      <xdr:style>
        <a:lnRef idx="0">
          <a:schemeClr val="accent4"/>
        </a:lnRef>
        <a:fillRef idx="3">
          <a:schemeClr val="accent4"/>
        </a:fillRef>
        <a:effectRef idx="3">
          <a:schemeClr val="accent4"/>
        </a:effectRef>
        <a:fontRef idx="minor">
          <a:schemeClr val="lt1"/>
        </a:fontRef>
      </xdr:style>
      <xdr:txBody>
        <a:bodyPr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4800" b="1" cap="all" spc="0">
              <a:ln w="0"/>
              <a:solidFill>
                <a:schemeClr val="tx2">
                  <a:lumMod val="95000"/>
                  <a:lumOff val="5000"/>
                </a:schemeClr>
              </a:solidFill>
              <a:effectLst>
                <a:reflection blurRad="12700" stA="50000" endPos="50000" dist="5000" dir="5400000" sy="-100000" rotWithShape="0"/>
              </a:effectLst>
            </a:rPr>
            <a:t>online business</a:t>
          </a:r>
          <a:r>
            <a:rPr lang="en-US" sz="4800" b="1" cap="all" spc="0" baseline="0">
              <a:ln w="0"/>
              <a:solidFill>
                <a:schemeClr val="tx2">
                  <a:lumMod val="95000"/>
                  <a:lumOff val="5000"/>
                </a:schemeClr>
              </a:solidFill>
              <a:effectLst>
                <a:reflection blurRad="12700" stA="50000" endPos="50000" dist="5000" dir="5400000" sy="-100000" rotWithShape="0"/>
              </a:effectLst>
            </a:rPr>
            <a:t> ANALYSIS</a:t>
          </a:r>
          <a:endParaRPr lang="en-US" sz="4800" b="1" cap="all" spc="0">
            <a:ln w="0"/>
            <a:solidFill>
              <a:schemeClr val="tx2">
                <a:lumMod val="95000"/>
                <a:lumOff val="5000"/>
              </a:schemeClr>
            </a:solidFill>
            <a:effectLst>
              <a:reflection blurRad="12700" stA="50000" endPos="50000" dist="5000" dir="5400000" sy="-100000" rotWithShape="0"/>
            </a:effectLst>
          </a:endParaRPr>
        </a:p>
      </xdr:txBody>
    </xdr:sp>
    <xdr:clientData/>
  </xdr:twoCellAnchor>
  <xdr:twoCellAnchor>
    <xdr:from>
      <xdr:col>4</xdr:col>
      <xdr:colOff>62753</xdr:colOff>
      <xdr:row>5</xdr:row>
      <xdr:rowOff>170329</xdr:rowOff>
    </xdr:from>
    <xdr:to>
      <xdr:col>11</xdr:col>
      <xdr:colOff>400538</xdr:colOff>
      <xdr:row>19</xdr:row>
      <xdr:rowOff>1837</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547077</xdr:colOff>
      <xdr:row>19</xdr:row>
      <xdr:rowOff>85623</xdr:rowOff>
    </xdr:from>
    <xdr:to>
      <xdr:col>22</xdr:col>
      <xdr:colOff>185616</xdr:colOff>
      <xdr:row>33</xdr:row>
      <xdr:rowOff>31837</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97692</xdr:colOff>
      <xdr:row>19</xdr:row>
      <xdr:rowOff>105163</xdr:rowOff>
    </xdr:from>
    <xdr:to>
      <xdr:col>17</xdr:col>
      <xdr:colOff>456281</xdr:colOff>
      <xdr:row>33</xdr:row>
      <xdr:rowOff>24482</xdr:rowOff>
    </xdr:to>
    <xdr:graphicFrame macro="">
      <xdr:nvGraphicFramePr>
        <xdr:cNvPr id="6" name="Chart 5">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136769</xdr:colOff>
      <xdr:row>5</xdr:row>
      <xdr:rowOff>144930</xdr:rowOff>
    </xdr:from>
    <xdr:to>
      <xdr:col>26</xdr:col>
      <xdr:colOff>622587</xdr:colOff>
      <xdr:row>18</xdr:row>
      <xdr:rowOff>192439</xdr:rowOff>
    </xdr:to>
    <xdr:graphicFrame macro="">
      <xdr:nvGraphicFramePr>
        <xdr:cNvPr id="7" name="Chart 6">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322385</xdr:colOff>
      <xdr:row>19</xdr:row>
      <xdr:rowOff>95393</xdr:rowOff>
    </xdr:from>
    <xdr:to>
      <xdr:col>26</xdr:col>
      <xdr:colOff>606083</xdr:colOff>
      <xdr:row>33</xdr:row>
      <xdr:rowOff>23675</xdr:rowOff>
    </xdr:to>
    <xdr:graphicFrame macro="">
      <xdr:nvGraphicFramePr>
        <xdr:cNvPr id="8" name="Chart 7">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474095</xdr:colOff>
      <xdr:row>5</xdr:row>
      <xdr:rowOff>173431</xdr:rowOff>
    </xdr:from>
    <xdr:to>
      <xdr:col>19</xdr:col>
      <xdr:colOff>48846</xdr:colOff>
      <xdr:row>19</xdr:row>
      <xdr:rowOff>2699</xdr:rowOff>
    </xdr:to>
    <xdr:graphicFrame macro="">
      <xdr:nvGraphicFramePr>
        <xdr:cNvPr id="9" name="Chart 8">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505587</xdr:colOff>
      <xdr:row>19</xdr:row>
      <xdr:rowOff>133665</xdr:rowOff>
    </xdr:from>
    <xdr:to>
      <xdr:col>12</xdr:col>
      <xdr:colOff>664308</xdr:colOff>
      <xdr:row>33</xdr:row>
      <xdr:rowOff>52983</xdr:rowOff>
    </xdr:to>
    <xdr:graphicFrame macro="">
      <xdr:nvGraphicFramePr>
        <xdr:cNvPr id="10" name="Chart 9">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97692</xdr:colOff>
      <xdr:row>19</xdr:row>
      <xdr:rowOff>151596</xdr:rowOff>
    </xdr:from>
    <xdr:to>
      <xdr:col>8</xdr:col>
      <xdr:colOff>364563</xdr:colOff>
      <xdr:row>33</xdr:row>
      <xdr:rowOff>8161</xdr:rowOff>
    </xdr:to>
    <xdr:graphicFrame macro="">
      <xdr:nvGraphicFramePr>
        <xdr:cNvPr id="11" name="Chart 10">
          <a:extLst>
            <a:ext uri="{FF2B5EF4-FFF2-40B4-BE49-F238E27FC236}">
              <a16:creationId xmlns:a16="http://schemas.microsoft.com/office/drawing/2014/main" id="{00000000-0008-0000-0A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98612</xdr:colOff>
      <xdr:row>6</xdr:row>
      <xdr:rowOff>53788</xdr:rowOff>
    </xdr:from>
    <xdr:to>
      <xdr:col>3</xdr:col>
      <xdr:colOff>600635</xdr:colOff>
      <xdr:row>14</xdr:row>
      <xdr:rowOff>107577</xdr:rowOff>
    </xdr:to>
    <xdr:grpSp>
      <xdr:nvGrpSpPr>
        <xdr:cNvPr id="28" name="Group 27">
          <a:extLst>
            <a:ext uri="{FF2B5EF4-FFF2-40B4-BE49-F238E27FC236}">
              <a16:creationId xmlns:a16="http://schemas.microsoft.com/office/drawing/2014/main" id="{00000000-0008-0000-0A00-00001C000000}"/>
            </a:ext>
          </a:extLst>
        </xdr:cNvPr>
        <xdr:cNvGrpSpPr/>
      </xdr:nvGrpSpPr>
      <xdr:grpSpPr>
        <a:xfrm>
          <a:off x="98612" y="1226096"/>
          <a:ext cx="2524254" cy="1616866"/>
          <a:chOff x="98612" y="1237129"/>
          <a:chExt cx="2519082" cy="1631577"/>
        </a:xfrm>
      </xdr:grpSpPr>
      <xdr:sp macro="" textlink="">
        <xdr:nvSpPr>
          <xdr:cNvPr id="13" name="Rectangle 12">
            <a:extLst>
              <a:ext uri="{FF2B5EF4-FFF2-40B4-BE49-F238E27FC236}">
                <a16:creationId xmlns:a16="http://schemas.microsoft.com/office/drawing/2014/main" id="{00000000-0008-0000-0A00-00000D000000}"/>
              </a:ext>
            </a:extLst>
          </xdr:cNvPr>
          <xdr:cNvSpPr/>
        </xdr:nvSpPr>
        <xdr:spPr>
          <a:xfrm>
            <a:off x="98612" y="1237129"/>
            <a:ext cx="2519082" cy="16315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4" name="Rectangle 13">
            <a:extLst>
              <a:ext uri="{FF2B5EF4-FFF2-40B4-BE49-F238E27FC236}">
                <a16:creationId xmlns:a16="http://schemas.microsoft.com/office/drawing/2014/main" id="{00000000-0008-0000-0A00-00000E000000}"/>
              </a:ext>
            </a:extLst>
          </xdr:cNvPr>
          <xdr:cNvSpPr/>
        </xdr:nvSpPr>
        <xdr:spPr>
          <a:xfrm>
            <a:off x="170330" y="1322703"/>
            <a:ext cx="2357718" cy="255086"/>
          </a:xfrm>
          <a:prstGeom prst="rect">
            <a:avLst/>
          </a:prstGeom>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600" b="1" baseline="0">
                <a:solidFill>
                  <a:schemeClr val="tx1"/>
                </a:solidFill>
              </a:rPr>
              <a:t>SPECIAL PRICE</a:t>
            </a:r>
            <a:endParaRPr lang="en-US" sz="1600" b="1">
              <a:solidFill>
                <a:schemeClr val="tx1"/>
              </a:solidFill>
            </a:endParaRPr>
          </a:p>
        </xdr:txBody>
      </xdr:sp>
      <xdr:sp macro="" textlink="">
        <xdr:nvSpPr>
          <xdr:cNvPr id="15" name="Rectangle 14">
            <a:extLst>
              <a:ext uri="{FF2B5EF4-FFF2-40B4-BE49-F238E27FC236}">
                <a16:creationId xmlns:a16="http://schemas.microsoft.com/office/drawing/2014/main" id="{00000000-0008-0000-0A00-00000F000000}"/>
              </a:ext>
            </a:extLst>
          </xdr:cNvPr>
          <xdr:cNvSpPr/>
        </xdr:nvSpPr>
        <xdr:spPr>
          <a:xfrm>
            <a:off x="143436" y="1658471"/>
            <a:ext cx="1138518" cy="36755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200" b="1"/>
              <a:t>MEDIAN:-   </a:t>
            </a:r>
          </a:p>
        </xdr:txBody>
      </xdr:sp>
      <xdr:sp macro="" textlink="">
        <xdr:nvSpPr>
          <xdr:cNvPr id="26" name="Rectangle 25">
            <a:extLst>
              <a:ext uri="{FF2B5EF4-FFF2-40B4-BE49-F238E27FC236}">
                <a16:creationId xmlns:a16="http://schemas.microsoft.com/office/drawing/2014/main" id="{00000000-0008-0000-0A00-00001A000000}"/>
              </a:ext>
            </a:extLst>
          </xdr:cNvPr>
          <xdr:cNvSpPr/>
        </xdr:nvSpPr>
        <xdr:spPr>
          <a:xfrm>
            <a:off x="152402" y="2079812"/>
            <a:ext cx="1129551" cy="323458"/>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200" b="1"/>
              <a:t>MODE:-</a:t>
            </a:r>
          </a:p>
        </xdr:txBody>
      </xdr:sp>
      <xdr:sp macro="" textlink="">
        <xdr:nvSpPr>
          <xdr:cNvPr id="27" name="Rectangle 26">
            <a:extLst>
              <a:ext uri="{FF2B5EF4-FFF2-40B4-BE49-F238E27FC236}">
                <a16:creationId xmlns:a16="http://schemas.microsoft.com/office/drawing/2014/main" id="{00000000-0008-0000-0A00-00001B000000}"/>
              </a:ext>
            </a:extLst>
          </xdr:cNvPr>
          <xdr:cNvSpPr/>
        </xdr:nvSpPr>
        <xdr:spPr>
          <a:xfrm>
            <a:off x="143435" y="2447365"/>
            <a:ext cx="1138517" cy="368281"/>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100" b="1"/>
              <a:t>MEAN:-</a:t>
            </a:r>
          </a:p>
        </xdr:txBody>
      </xdr:sp>
    </xdr:grpSp>
    <xdr:clientData/>
  </xdr:twoCellAnchor>
  <xdr:twoCellAnchor>
    <xdr:from>
      <xdr:col>2</xdr:col>
      <xdr:colOff>71718</xdr:colOff>
      <xdr:row>8</xdr:row>
      <xdr:rowOff>98613</xdr:rowOff>
    </xdr:from>
    <xdr:to>
      <xdr:col>3</xdr:col>
      <xdr:colOff>502023</xdr:colOff>
      <xdr:row>10</xdr:row>
      <xdr:rowOff>35860</xdr:rowOff>
    </xdr:to>
    <xdr:sp macro="" textlink="">
      <xdr:nvSpPr>
        <xdr:cNvPr id="41" name="Rectangle 40">
          <a:extLst>
            <a:ext uri="{FF2B5EF4-FFF2-40B4-BE49-F238E27FC236}">
              <a16:creationId xmlns:a16="http://schemas.microsoft.com/office/drawing/2014/main" id="{00000000-0008-0000-0A00-000029000000}"/>
            </a:ext>
          </a:extLst>
        </xdr:cNvPr>
        <xdr:cNvSpPr/>
      </xdr:nvSpPr>
      <xdr:spPr>
        <a:xfrm>
          <a:off x="1416424" y="1676401"/>
          <a:ext cx="1102658" cy="33169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endParaRPr lang="en-US" sz="1200" b="1"/>
        </a:p>
      </xdr:txBody>
    </xdr:sp>
    <xdr:clientData/>
  </xdr:twoCellAnchor>
  <xdr:twoCellAnchor>
    <xdr:from>
      <xdr:col>2</xdr:col>
      <xdr:colOff>71717</xdr:colOff>
      <xdr:row>10</xdr:row>
      <xdr:rowOff>116541</xdr:rowOff>
    </xdr:from>
    <xdr:to>
      <xdr:col>3</xdr:col>
      <xdr:colOff>493059</xdr:colOff>
      <xdr:row>12</xdr:row>
      <xdr:rowOff>35859</xdr:rowOff>
    </xdr:to>
    <xdr:sp macro="" textlink="">
      <xdr:nvSpPr>
        <xdr:cNvPr id="42" name="Rectangle 41">
          <a:extLst>
            <a:ext uri="{FF2B5EF4-FFF2-40B4-BE49-F238E27FC236}">
              <a16:creationId xmlns:a16="http://schemas.microsoft.com/office/drawing/2014/main" id="{00000000-0008-0000-0A00-00002A000000}"/>
            </a:ext>
          </a:extLst>
        </xdr:cNvPr>
        <xdr:cNvSpPr/>
      </xdr:nvSpPr>
      <xdr:spPr>
        <a:xfrm>
          <a:off x="1416423" y="2088776"/>
          <a:ext cx="1093695" cy="313765"/>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200" b="1"/>
            <a:t>   </a:t>
          </a:r>
        </a:p>
      </xdr:txBody>
    </xdr:sp>
    <xdr:clientData/>
  </xdr:twoCellAnchor>
  <xdr:twoCellAnchor>
    <xdr:from>
      <xdr:col>2</xdr:col>
      <xdr:colOff>80682</xdr:colOff>
      <xdr:row>12</xdr:row>
      <xdr:rowOff>107577</xdr:rowOff>
    </xdr:from>
    <xdr:to>
      <xdr:col>3</xdr:col>
      <xdr:colOff>493058</xdr:colOff>
      <xdr:row>14</xdr:row>
      <xdr:rowOff>72447</xdr:rowOff>
    </xdr:to>
    <xdr:sp macro="" textlink="">
      <xdr:nvSpPr>
        <xdr:cNvPr id="43" name="Rectangle 42">
          <a:extLst>
            <a:ext uri="{FF2B5EF4-FFF2-40B4-BE49-F238E27FC236}">
              <a16:creationId xmlns:a16="http://schemas.microsoft.com/office/drawing/2014/main" id="{00000000-0008-0000-0A00-00002B000000}"/>
            </a:ext>
          </a:extLst>
        </xdr:cNvPr>
        <xdr:cNvSpPr/>
      </xdr:nvSpPr>
      <xdr:spPr>
        <a:xfrm>
          <a:off x="1425388" y="2474259"/>
          <a:ext cx="1084729" cy="359317"/>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200" b="1"/>
            <a:t>   </a:t>
          </a:r>
        </a:p>
      </xdr:txBody>
    </xdr:sp>
    <xdr:clientData/>
  </xdr:twoCellAnchor>
  <xdr:twoCellAnchor>
    <xdr:from>
      <xdr:col>0</xdr:col>
      <xdr:colOff>98612</xdr:colOff>
      <xdr:row>6</xdr:row>
      <xdr:rowOff>89647</xdr:rowOff>
    </xdr:from>
    <xdr:to>
      <xdr:col>3</xdr:col>
      <xdr:colOff>600635</xdr:colOff>
      <xdr:row>14</xdr:row>
      <xdr:rowOff>143436</xdr:rowOff>
    </xdr:to>
    <xdr:grpSp>
      <xdr:nvGrpSpPr>
        <xdr:cNvPr id="53" name="Group 52">
          <a:extLst>
            <a:ext uri="{FF2B5EF4-FFF2-40B4-BE49-F238E27FC236}">
              <a16:creationId xmlns:a16="http://schemas.microsoft.com/office/drawing/2014/main" id="{00000000-0008-0000-0A00-000035000000}"/>
            </a:ext>
          </a:extLst>
        </xdr:cNvPr>
        <xdr:cNvGrpSpPr/>
      </xdr:nvGrpSpPr>
      <xdr:grpSpPr>
        <a:xfrm>
          <a:off x="98612" y="1261955"/>
          <a:ext cx="2524254" cy="1616866"/>
          <a:chOff x="98612" y="1272988"/>
          <a:chExt cx="2519082" cy="1631577"/>
        </a:xfrm>
      </xdr:grpSpPr>
      <xdr:grpSp>
        <xdr:nvGrpSpPr>
          <xdr:cNvPr id="44" name="Group 43">
            <a:extLst>
              <a:ext uri="{FF2B5EF4-FFF2-40B4-BE49-F238E27FC236}">
                <a16:creationId xmlns:a16="http://schemas.microsoft.com/office/drawing/2014/main" id="{00000000-0008-0000-0A00-00002C000000}"/>
              </a:ext>
            </a:extLst>
          </xdr:cNvPr>
          <xdr:cNvGrpSpPr/>
        </xdr:nvGrpSpPr>
        <xdr:grpSpPr>
          <a:xfrm>
            <a:off x="98612" y="1272988"/>
            <a:ext cx="2519082" cy="1631577"/>
            <a:chOff x="98612" y="1237129"/>
            <a:chExt cx="2519082" cy="1631577"/>
          </a:xfrm>
        </xdr:grpSpPr>
        <xdr:sp macro="" textlink="">
          <xdr:nvSpPr>
            <xdr:cNvPr id="45" name="Rectangle 44">
              <a:extLst>
                <a:ext uri="{FF2B5EF4-FFF2-40B4-BE49-F238E27FC236}">
                  <a16:creationId xmlns:a16="http://schemas.microsoft.com/office/drawing/2014/main" id="{00000000-0008-0000-0A00-00002D000000}"/>
                </a:ext>
              </a:extLst>
            </xdr:cNvPr>
            <xdr:cNvSpPr/>
          </xdr:nvSpPr>
          <xdr:spPr>
            <a:xfrm>
              <a:off x="98612" y="1237129"/>
              <a:ext cx="2519082" cy="16315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46" name="Rectangle 45">
              <a:extLst>
                <a:ext uri="{FF2B5EF4-FFF2-40B4-BE49-F238E27FC236}">
                  <a16:creationId xmlns:a16="http://schemas.microsoft.com/office/drawing/2014/main" id="{00000000-0008-0000-0A00-00002E000000}"/>
                </a:ext>
              </a:extLst>
            </xdr:cNvPr>
            <xdr:cNvSpPr/>
          </xdr:nvSpPr>
          <xdr:spPr>
            <a:xfrm>
              <a:off x="170330" y="1322703"/>
              <a:ext cx="2357718" cy="255086"/>
            </a:xfrm>
            <a:prstGeom prst="rect">
              <a:avLst/>
            </a:prstGeom>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600" b="1" baseline="0">
                  <a:solidFill>
                    <a:schemeClr val="tx1"/>
                  </a:solidFill>
                </a:rPr>
                <a:t>SPECIAL PRICE</a:t>
              </a:r>
              <a:endParaRPr lang="en-US" sz="1600" b="1">
                <a:solidFill>
                  <a:schemeClr val="tx1"/>
                </a:solidFill>
              </a:endParaRPr>
            </a:p>
          </xdr:txBody>
        </xdr:sp>
        <xdr:sp macro="" textlink="">
          <xdr:nvSpPr>
            <xdr:cNvPr id="47" name="Rectangle 46">
              <a:extLst>
                <a:ext uri="{FF2B5EF4-FFF2-40B4-BE49-F238E27FC236}">
                  <a16:creationId xmlns:a16="http://schemas.microsoft.com/office/drawing/2014/main" id="{00000000-0008-0000-0A00-00002F000000}"/>
                </a:ext>
              </a:extLst>
            </xdr:cNvPr>
            <xdr:cNvSpPr/>
          </xdr:nvSpPr>
          <xdr:spPr>
            <a:xfrm>
              <a:off x="143436" y="1658471"/>
              <a:ext cx="1138518" cy="36755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MEDIAN:-   </a:t>
              </a:r>
            </a:p>
          </xdr:txBody>
        </xdr:sp>
        <xdr:sp macro="" textlink="">
          <xdr:nvSpPr>
            <xdr:cNvPr id="48" name="Rectangle 47">
              <a:extLst>
                <a:ext uri="{FF2B5EF4-FFF2-40B4-BE49-F238E27FC236}">
                  <a16:creationId xmlns:a16="http://schemas.microsoft.com/office/drawing/2014/main" id="{00000000-0008-0000-0A00-000030000000}"/>
                </a:ext>
              </a:extLst>
            </xdr:cNvPr>
            <xdr:cNvSpPr/>
          </xdr:nvSpPr>
          <xdr:spPr>
            <a:xfrm>
              <a:off x="152402" y="2079812"/>
              <a:ext cx="1129551" cy="323458"/>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MODE:-</a:t>
              </a:r>
            </a:p>
          </xdr:txBody>
        </xdr:sp>
        <xdr:sp macro="" textlink="">
          <xdr:nvSpPr>
            <xdr:cNvPr id="49" name="Rectangle 48">
              <a:extLst>
                <a:ext uri="{FF2B5EF4-FFF2-40B4-BE49-F238E27FC236}">
                  <a16:creationId xmlns:a16="http://schemas.microsoft.com/office/drawing/2014/main" id="{00000000-0008-0000-0A00-000031000000}"/>
                </a:ext>
              </a:extLst>
            </xdr:cNvPr>
            <xdr:cNvSpPr/>
          </xdr:nvSpPr>
          <xdr:spPr>
            <a:xfrm>
              <a:off x="143435" y="2447365"/>
              <a:ext cx="1138517" cy="368281"/>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MEAN:-</a:t>
              </a:r>
            </a:p>
          </xdr:txBody>
        </xdr:sp>
      </xdr:grpSp>
      <xdr:sp macro="" textlink="DATA!P13">
        <xdr:nvSpPr>
          <xdr:cNvPr id="50" name="Rectangle 49">
            <a:extLst>
              <a:ext uri="{FF2B5EF4-FFF2-40B4-BE49-F238E27FC236}">
                <a16:creationId xmlns:a16="http://schemas.microsoft.com/office/drawing/2014/main" id="{00000000-0008-0000-0A00-000032000000}"/>
              </a:ext>
            </a:extLst>
          </xdr:cNvPr>
          <xdr:cNvSpPr/>
        </xdr:nvSpPr>
        <xdr:spPr>
          <a:xfrm>
            <a:off x="1416424" y="1712260"/>
            <a:ext cx="1102658" cy="33169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B19A2D9F-4AA7-483D-8AA6-A56C6E819B9B}" type="TxLink">
              <a:rPr lang="en-US" sz="1400" b="1"/>
              <a:pPr algn="ctr"/>
              <a:t> ₹135.00 </a:t>
            </a:fld>
            <a:endParaRPr lang="en-US" sz="1400" b="1"/>
          </a:p>
        </xdr:txBody>
      </xdr:sp>
      <xdr:sp macro="" textlink="DATA!P17">
        <xdr:nvSpPr>
          <xdr:cNvPr id="51" name="Rectangle 50">
            <a:extLst>
              <a:ext uri="{FF2B5EF4-FFF2-40B4-BE49-F238E27FC236}">
                <a16:creationId xmlns:a16="http://schemas.microsoft.com/office/drawing/2014/main" id="{00000000-0008-0000-0A00-000033000000}"/>
              </a:ext>
            </a:extLst>
          </xdr:cNvPr>
          <xdr:cNvSpPr/>
        </xdr:nvSpPr>
        <xdr:spPr>
          <a:xfrm>
            <a:off x="1416423" y="2124635"/>
            <a:ext cx="1093695" cy="313765"/>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8354E95E-9814-4F9E-91DE-9BFB39373DB8}" type="TxLink">
              <a:rPr lang="en-US" sz="1400" b="1"/>
              <a:pPr algn="ctr"/>
              <a:t>125</a:t>
            </a:fld>
            <a:endParaRPr lang="en-US" sz="1400" b="1"/>
          </a:p>
        </xdr:txBody>
      </xdr:sp>
      <xdr:sp macro="" textlink="DATA!P15">
        <xdr:nvSpPr>
          <xdr:cNvPr id="52" name="Rectangle 51">
            <a:extLst>
              <a:ext uri="{FF2B5EF4-FFF2-40B4-BE49-F238E27FC236}">
                <a16:creationId xmlns:a16="http://schemas.microsoft.com/office/drawing/2014/main" id="{00000000-0008-0000-0A00-000034000000}"/>
              </a:ext>
            </a:extLst>
          </xdr:cNvPr>
          <xdr:cNvSpPr/>
        </xdr:nvSpPr>
        <xdr:spPr>
          <a:xfrm>
            <a:off x="1425388" y="2510118"/>
            <a:ext cx="1084729" cy="359317"/>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FDEA1FE8-64FB-465D-83A7-F55F6CAE19A5}" type="TxLink">
              <a:rPr lang="en-US" sz="1400" b="1"/>
              <a:pPr algn="ctr"/>
              <a:t> ₹168.64 </a:t>
            </a:fld>
            <a:endParaRPr lang="en-US" sz="1400" b="1"/>
          </a:p>
        </xdr:txBody>
      </xdr:sp>
    </xdr:grpSp>
    <xdr:clientData/>
  </xdr:twoCellAnchor>
  <xdr:twoCellAnchor>
    <xdr:from>
      <xdr:col>0</xdr:col>
      <xdr:colOff>89648</xdr:colOff>
      <xdr:row>15</xdr:row>
      <xdr:rowOff>134469</xdr:rowOff>
    </xdr:from>
    <xdr:to>
      <xdr:col>3</xdr:col>
      <xdr:colOff>591671</xdr:colOff>
      <xdr:row>23</xdr:row>
      <xdr:rowOff>188258</xdr:rowOff>
    </xdr:to>
    <xdr:grpSp>
      <xdr:nvGrpSpPr>
        <xdr:cNvPr id="54" name="Group 53">
          <a:extLst>
            <a:ext uri="{FF2B5EF4-FFF2-40B4-BE49-F238E27FC236}">
              <a16:creationId xmlns:a16="http://schemas.microsoft.com/office/drawing/2014/main" id="{00000000-0008-0000-0A00-000036000000}"/>
            </a:ext>
          </a:extLst>
        </xdr:cNvPr>
        <xdr:cNvGrpSpPr/>
      </xdr:nvGrpSpPr>
      <xdr:grpSpPr>
        <a:xfrm>
          <a:off x="89648" y="3065238"/>
          <a:ext cx="2524254" cy="1616866"/>
          <a:chOff x="98612" y="1272988"/>
          <a:chExt cx="2519082" cy="1631577"/>
        </a:xfrm>
      </xdr:grpSpPr>
      <xdr:grpSp>
        <xdr:nvGrpSpPr>
          <xdr:cNvPr id="55" name="Group 43">
            <a:extLst>
              <a:ext uri="{FF2B5EF4-FFF2-40B4-BE49-F238E27FC236}">
                <a16:creationId xmlns:a16="http://schemas.microsoft.com/office/drawing/2014/main" id="{00000000-0008-0000-0A00-000037000000}"/>
              </a:ext>
            </a:extLst>
          </xdr:cNvPr>
          <xdr:cNvGrpSpPr/>
        </xdr:nvGrpSpPr>
        <xdr:grpSpPr>
          <a:xfrm>
            <a:off x="98612" y="1272988"/>
            <a:ext cx="2519082" cy="1631577"/>
            <a:chOff x="98612" y="1237129"/>
            <a:chExt cx="2519082" cy="1631577"/>
          </a:xfrm>
        </xdr:grpSpPr>
        <xdr:sp macro="" textlink="">
          <xdr:nvSpPr>
            <xdr:cNvPr id="59" name="Rectangle 58">
              <a:extLst>
                <a:ext uri="{FF2B5EF4-FFF2-40B4-BE49-F238E27FC236}">
                  <a16:creationId xmlns:a16="http://schemas.microsoft.com/office/drawing/2014/main" id="{00000000-0008-0000-0A00-00003B000000}"/>
                </a:ext>
              </a:extLst>
            </xdr:cNvPr>
            <xdr:cNvSpPr/>
          </xdr:nvSpPr>
          <xdr:spPr>
            <a:xfrm>
              <a:off x="98612" y="1237129"/>
              <a:ext cx="2519082" cy="16315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60" name="Rectangle 59">
              <a:extLst>
                <a:ext uri="{FF2B5EF4-FFF2-40B4-BE49-F238E27FC236}">
                  <a16:creationId xmlns:a16="http://schemas.microsoft.com/office/drawing/2014/main" id="{00000000-0008-0000-0A00-00003C000000}"/>
                </a:ext>
              </a:extLst>
            </xdr:cNvPr>
            <xdr:cNvSpPr/>
          </xdr:nvSpPr>
          <xdr:spPr>
            <a:xfrm>
              <a:off x="170330" y="1322703"/>
              <a:ext cx="2357718" cy="255086"/>
            </a:xfrm>
            <a:prstGeom prst="rect">
              <a:avLst/>
            </a:prstGeom>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600" b="1" baseline="0">
                  <a:solidFill>
                    <a:schemeClr val="tx1"/>
                  </a:solidFill>
                </a:rPr>
                <a:t>ORIGINAL PRICE</a:t>
              </a:r>
              <a:endParaRPr lang="en-US" sz="1600" b="1">
                <a:solidFill>
                  <a:schemeClr val="tx1"/>
                </a:solidFill>
              </a:endParaRPr>
            </a:p>
          </xdr:txBody>
        </xdr:sp>
        <xdr:sp macro="" textlink="">
          <xdr:nvSpPr>
            <xdr:cNvPr id="61" name="Rectangle 60">
              <a:extLst>
                <a:ext uri="{FF2B5EF4-FFF2-40B4-BE49-F238E27FC236}">
                  <a16:creationId xmlns:a16="http://schemas.microsoft.com/office/drawing/2014/main" id="{00000000-0008-0000-0A00-00003D000000}"/>
                </a:ext>
              </a:extLst>
            </xdr:cNvPr>
            <xdr:cNvSpPr/>
          </xdr:nvSpPr>
          <xdr:spPr>
            <a:xfrm>
              <a:off x="143436" y="1658471"/>
              <a:ext cx="1138518" cy="36755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MEDIAN</a:t>
              </a:r>
              <a:r>
                <a:rPr lang="en-US" sz="1200" b="1"/>
                <a:t>:-   </a:t>
              </a:r>
            </a:p>
          </xdr:txBody>
        </xdr:sp>
        <xdr:sp macro="" textlink="">
          <xdr:nvSpPr>
            <xdr:cNvPr id="62" name="Rectangle 61">
              <a:extLst>
                <a:ext uri="{FF2B5EF4-FFF2-40B4-BE49-F238E27FC236}">
                  <a16:creationId xmlns:a16="http://schemas.microsoft.com/office/drawing/2014/main" id="{00000000-0008-0000-0A00-00003E000000}"/>
                </a:ext>
              </a:extLst>
            </xdr:cNvPr>
            <xdr:cNvSpPr/>
          </xdr:nvSpPr>
          <xdr:spPr>
            <a:xfrm>
              <a:off x="152402" y="2079812"/>
              <a:ext cx="1129551" cy="323458"/>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MODE:-</a:t>
              </a:r>
            </a:p>
          </xdr:txBody>
        </xdr:sp>
        <xdr:sp macro="" textlink="">
          <xdr:nvSpPr>
            <xdr:cNvPr id="63" name="Rectangle 62">
              <a:extLst>
                <a:ext uri="{FF2B5EF4-FFF2-40B4-BE49-F238E27FC236}">
                  <a16:creationId xmlns:a16="http://schemas.microsoft.com/office/drawing/2014/main" id="{00000000-0008-0000-0A00-00003F000000}"/>
                </a:ext>
              </a:extLst>
            </xdr:cNvPr>
            <xdr:cNvSpPr/>
          </xdr:nvSpPr>
          <xdr:spPr>
            <a:xfrm>
              <a:off x="143435" y="2447365"/>
              <a:ext cx="1138517" cy="368281"/>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MEAN:-</a:t>
              </a:r>
            </a:p>
          </xdr:txBody>
        </xdr:sp>
      </xdr:grpSp>
      <xdr:sp macro="" textlink="DATA!P3">
        <xdr:nvSpPr>
          <xdr:cNvPr id="56" name="Rectangle 55">
            <a:extLst>
              <a:ext uri="{FF2B5EF4-FFF2-40B4-BE49-F238E27FC236}">
                <a16:creationId xmlns:a16="http://schemas.microsoft.com/office/drawing/2014/main" id="{00000000-0008-0000-0A00-000038000000}"/>
              </a:ext>
            </a:extLst>
          </xdr:cNvPr>
          <xdr:cNvSpPr/>
        </xdr:nvSpPr>
        <xdr:spPr>
          <a:xfrm>
            <a:off x="1416424" y="1712260"/>
            <a:ext cx="1102658" cy="33169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885F4196-6C23-4F3D-B86C-DB9801D285B5}" type="TxLink">
              <a:rPr lang="en-US" sz="1400" b="1"/>
              <a:pPr algn="ctr"/>
              <a:t>499.00</a:t>
            </a:fld>
            <a:endParaRPr lang="en-US" sz="1400" b="1"/>
          </a:p>
        </xdr:txBody>
      </xdr:sp>
      <xdr:sp macro="" textlink="DATA!P7">
        <xdr:nvSpPr>
          <xdr:cNvPr id="57" name="Rectangle 56">
            <a:extLst>
              <a:ext uri="{FF2B5EF4-FFF2-40B4-BE49-F238E27FC236}">
                <a16:creationId xmlns:a16="http://schemas.microsoft.com/office/drawing/2014/main" id="{00000000-0008-0000-0A00-000039000000}"/>
              </a:ext>
            </a:extLst>
          </xdr:cNvPr>
          <xdr:cNvSpPr/>
        </xdr:nvSpPr>
        <xdr:spPr>
          <a:xfrm>
            <a:off x="1416423" y="2124635"/>
            <a:ext cx="1093695" cy="313765"/>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t"/>
          <a:lstStyle/>
          <a:p>
            <a:pPr algn="ctr"/>
            <a:fld id="{2F1AF1FA-EB10-4513-9043-C052B8A664C6}" type="TxLink">
              <a:rPr lang="en-US" sz="1400" b="1"/>
              <a:pPr algn="ctr"/>
              <a:t>499</a:t>
            </a:fld>
            <a:endParaRPr lang="en-US" sz="1400" b="1"/>
          </a:p>
        </xdr:txBody>
      </xdr:sp>
      <xdr:sp macro="" textlink="DATA!P5">
        <xdr:nvSpPr>
          <xdr:cNvPr id="58" name="Rectangle 57">
            <a:extLst>
              <a:ext uri="{FF2B5EF4-FFF2-40B4-BE49-F238E27FC236}">
                <a16:creationId xmlns:a16="http://schemas.microsoft.com/office/drawing/2014/main" id="{00000000-0008-0000-0A00-00003A000000}"/>
              </a:ext>
            </a:extLst>
          </xdr:cNvPr>
          <xdr:cNvSpPr/>
        </xdr:nvSpPr>
        <xdr:spPr>
          <a:xfrm>
            <a:off x="1425388" y="2510118"/>
            <a:ext cx="1084729" cy="359317"/>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EE6BE75D-CC06-4F25-8BC4-AD1FED4CCD9C}" type="TxLink">
              <a:rPr lang="en-US" sz="1400" b="1"/>
              <a:pPr algn="ctr"/>
              <a:t>520.34</a:t>
            </a:fld>
            <a:endParaRPr lang="en-US" sz="1400" b="1"/>
          </a:p>
        </xdr:txBody>
      </xdr:sp>
    </xdr:grpSp>
    <xdr:clientData/>
  </xdr:twoCellAnchor>
  <xdr:twoCellAnchor>
    <xdr:from>
      <xdr:col>0</xdr:col>
      <xdr:colOff>80683</xdr:colOff>
      <xdr:row>24</xdr:row>
      <xdr:rowOff>116542</xdr:rowOff>
    </xdr:from>
    <xdr:to>
      <xdr:col>3</xdr:col>
      <xdr:colOff>582706</xdr:colOff>
      <xdr:row>32</xdr:row>
      <xdr:rowOff>170331</xdr:rowOff>
    </xdr:to>
    <xdr:grpSp>
      <xdr:nvGrpSpPr>
        <xdr:cNvPr id="64" name="Group 63">
          <a:extLst>
            <a:ext uri="{FF2B5EF4-FFF2-40B4-BE49-F238E27FC236}">
              <a16:creationId xmlns:a16="http://schemas.microsoft.com/office/drawing/2014/main" id="{00000000-0008-0000-0A00-000040000000}"/>
            </a:ext>
          </a:extLst>
        </xdr:cNvPr>
        <xdr:cNvGrpSpPr/>
      </xdr:nvGrpSpPr>
      <xdr:grpSpPr>
        <a:xfrm>
          <a:off x="80683" y="4805773"/>
          <a:ext cx="2524254" cy="1616866"/>
          <a:chOff x="98612" y="1272988"/>
          <a:chExt cx="2519082" cy="1631577"/>
        </a:xfrm>
      </xdr:grpSpPr>
      <xdr:grpSp>
        <xdr:nvGrpSpPr>
          <xdr:cNvPr id="65" name="Group 43">
            <a:extLst>
              <a:ext uri="{FF2B5EF4-FFF2-40B4-BE49-F238E27FC236}">
                <a16:creationId xmlns:a16="http://schemas.microsoft.com/office/drawing/2014/main" id="{00000000-0008-0000-0A00-000041000000}"/>
              </a:ext>
            </a:extLst>
          </xdr:cNvPr>
          <xdr:cNvGrpSpPr/>
        </xdr:nvGrpSpPr>
        <xdr:grpSpPr>
          <a:xfrm>
            <a:off x="98612" y="1272988"/>
            <a:ext cx="2519082" cy="1631577"/>
            <a:chOff x="98612" y="1237129"/>
            <a:chExt cx="2519082" cy="1631577"/>
          </a:xfrm>
        </xdr:grpSpPr>
        <xdr:sp macro="" textlink="">
          <xdr:nvSpPr>
            <xdr:cNvPr id="69" name="Rectangle 68">
              <a:extLst>
                <a:ext uri="{FF2B5EF4-FFF2-40B4-BE49-F238E27FC236}">
                  <a16:creationId xmlns:a16="http://schemas.microsoft.com/office/drawing/2014/main" id="{00000000-0008-0000-0A00-000045000000}"/>
                </a:ext>
              </a:extLst>
            </xdr:cNvPr>
            <xdr:cNvSpPr/>
          </xdr:nvSpPr>
          <xdr:spPr>
            <a:xfrm>
              <a:off x="98612" y="1237129"/>
              <a:ext cx="2519082" cy="16315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70" name="Rectangle 69">
              <a:extLst>
                <a:ext uri="{FF2B5EF4-FFF2-40B4-BE49-F238E27FC236}">
                  <a16:creationId xmlns:a16="http://schemas.microsoft.com/office/drawing/2014/main" id="{00000000-0008-0000-0A00-000046000000}"/>
                </a:ext>
              </a:extLst>
            </xdr:cNvPr>
            <xdr:cNvSpPr/>
          </xdr:nvSpPr>
          <xdr:spPr>
            <a:xfrm>
              <a:off x="170330" y="1322703"/>
              <a:ext cx="2357718" cy="255086"/>
            </a:xfrm>
            <a:prstGeom prst="rect">
              <a:avLst/>
            </a:prstGeom>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600" b="1" baseline="0">
                  <a:solidFill>
                    <a:schemeClr val="tx1"/>
                  </a:solidFill>
                </a:rPr>
                <a:t>DISCOUNT</a:t>
              </a:r>
              <a:endParaRPr lang="en-US" sz="1600" b="1">
                <a:solidFill>
                  <a:schemeClr val="tx1"/>
                </a:solidFill>
              </a:endParaRPr>
            </a:p>
          </xdr:txBody>
        </xdr:sp>
        <xdr:sp macro="" textlink="">
          <xdr:nvSpPr>
            <xdr:cNvPr id="71" name="Rectangle 70">
              <a:extLst>
                <a:ext uri="{FF2B5EF4-FFF2-40B4-BE49-F238E27FC236}">
                  <a16:creationId xmlns:a16="http://schemas.microsoft.com/office/drawing/2014/main" id="{00000000-0008-0000-0A00-000047000000}"/>
                </a:ext>
              </a:extLst>
            </xdr:cNvPr>
            <xdr:cNvSpPr/>
          </xdr:nvSpPr>
          <xdr:spPr>
            <a:xfrm>
              <a:off x="143436" y="1658471"/>
              <a:ext cx="1138518" cy="36755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MEDIAN:-   </a:t>
              </a:r>
            </a:p>
          </xdr:txBody>
        </xdr:sp>
        <xdr:sp macro="" textlink="">
          <xdr:nvSpPr>
            <xdr:cNvPr id="72" name="Rectangle 71">
              <a:extLst>
                <a:ext uri="{FF2B5EF4-FFF2-40B4-BE49-F238E27FC236}">
                  <a16:creationId xmlns:a16="http://schemas.microsoft.com/office/drawing/2014/main" id="{00000000-0008-0000-0A00-000048000000}"/>
                </a:ext>
              </a:extLst>
            </xdr:cNvPr>
            <xdr:cNvSpPr/>
          </xdr:nvSpPr>
          <xdr:spPr>
            <a:xfrm>
              <a:off x="152402" y="2079812"/>
              <a:ext cx="1129551" cy="323458"/>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MODE</a:t>
              </a:r>
              <a:r>
                <a:rPr lang="en-US" sz="1200" b="1"/>
                <a:t>:-</a:t>
              </a:r>
            </a:p>
          </xdr:txBody>
        </xdr:sp>
        <xdr:sp macro="" textlink="">
          <xdr:nvSpPr>
            <xdr:cNvPr id="73" name="Rectangle 72">
              <a:extLst>
                <a:ext uri="{FF2B5EF4-FFF2-40B4-BE49-F238E27FC236}">
                  <a16:creationId xmlns:a16="http://schemas.microsoft.com/office/drawing/2014/main" id="{00000000-0008-0000-0A00-000049000000}"/>
                </a:ext>
              </a:extLst>
            </xdr:cNvPr>
            <xdr:cNvSpPr/>
          </xdr:nvSpPr>
          <xdr:spPr>
            <a:xfrm>
              <a:off x="143435" y="2447365"/>
              <a:ext cx="1138517" cy="368281"/>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400" b="1"/>
                <a:t>MEAN:-</a:t>
              </a:r>
            </a:p>
          </xdr:txBody>
        </xdr:sp>
      </xdr:grpSp>
      <xdr:sp macro="" textlink="DATA!P23">
        <xdr:nvSpPr>
          <xdr:cNvPr id="66" name="Rectangle 65">
            <a:extLst>
              <a:ext uri="{FF2B5EF4-FFF2-40B4-BE49-F238E27FC236}">
                <a16:creationId xmlns:a16="http://schemas.microsoft.com/office/drawing/2014/main" id="{00000000-0008-0000-0A00-000042000000}"/>
              </a:ext>
            </a:extLst>
          </xdr:cNvPr>
          <xdr:cNvSpPr/>
        </xdr:nvSpPr>
        <xdr:spPr>
          <a:xfrm>
            <a:off x="1416424" y="1712260"/>
            <a:ext cx="1102658" cy="331694"/>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13D58249-E352-4CE8-9BDF-29FA5001D255}" type="TxLink">
              <a:rPr lang="en-US" sz="1400" b="1"/>
              <a:pPr algn="ctr"/>
              <a:t>68%</a:t>
            </a:fld>
            <a:endParaRPr lang="en-US" sz="1400" b="1"/>
          </a:p>
        </xdr:txBody>
      </xdr:sp>
      <xdr:sp macro="" textlink="DATA!P27">
        <xdr:nvSpPr>
          <xdr:cNvPr id="67" name="Rectangle 66">
            <a:extLst>
              <a:ext uri="{FF2B5EF4-FFF2-40B4-BE49-F238E27FC236}">
                <a16:creationId xmlns:a16="http://schemas.microsoft.com/office/drawing/2014/main" id="{00000000-0008-0000-0A00-000043000000}"/>
              </a:ext>
            </a:extLst>
          </xdr:cNvPr>
          <xdr:cNvSpPr/>
        </xdr:nvSpPr>
        <xdr:spPr>
          <a:xfrm>
            <a:off x="1416423" y="2124635"/>
            <a:ext cx="1093695" cy="313765"/>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AB960743-2FEF-419A-851C-40DFC5536490}" type="TxLink">
              <a:rPr lang="en-US" sz="1400" b="1"/>
              <a:pPr algn="ctr"/>
              <a:t>0.68</a:t>
            </a:fld>
            <a:endParaRPr lang="en-US" sz="1400" b="1"/>
          </a:p>
        </xdr:txBody>
      </xdr:sp>
      <xdr:sp macro="" textlink="DATA!P25">
        <xdr:nvSpPr>
          <xdr:cNvPr id="68" name="Rectangle 67">
            <a:extLst>
              <a:ext uri="{FF2B5EF4-FFF2-40B4-BE49-F238E27FC236}">
                <a16:creationId xmlns:a16="http://schemas.microsoft.com/office/drawing/2014/main" id="{00000000-0008-0000-0A00-000044000000}"/>
              </a:ext>
            </a:extLst>
          </xdr:cNvPr>
          <xdr:cNvSpPr/>
        </xdr:nvSpPr>
        <xdr:spPr>
          <a:xfrm>
            <a:off x="1425388" y="2510118"/>
            <a:ext cx="1084729" cy="359317"/>
          </a:xfrm>
          <a:prstGeom prst="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tlCol="0" anchor="ctr"/>
          <a:lstStyle/>
          <a:p>
            <a:pPr algn="ctr"/>
            <a:fld id="{3206E34C-AF75-4999-9DE5-57142315634E}" type="TxLink">
              <a:rPr lang="en-US" sz="1400" b="1"/>
              <a:pPr algn="ctr"/>
              <a:t>64%</a:t>
            </a:fld>
            <a:endParaRPr lang="en-US" sz="14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251460</xdr:colOff>
      <xdr:row>2</xdr:row>
      <xdr:rowOff>76200</xdr:rowOff>
    </xdr:from>
    <xdr:to>
      <xdr:col>12</xdr:col>
      <xdr:colOff>198120</xdr:colOff>
      <xdr:row>15</xdr:row>
      <xdr:rowOff>160020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525780</xdr:colOff>
      <xdr:row>2</xdr:row>
      <xdr:rowOff>83820</xdr:rowOff>
    </xdr:from>
    <xdr:to>
      <xdr:col>7</xdr:col>
      <xdr:colOff>304800</xdr:colOff>
      <xdr:row>11</xdr:row>
      <xdr:rowOff>190500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259080</xdr:colOff>
      <xdr:row>1</xdr:row>
      <xdr:rowOff>91440</xdr:rowOff>
    </xdr:from>
    <xdr:to>
      <xdr:col>13</xdr:col>
      <xdr:colOff>464820</xdr:colOff>
      <xdr:row>22</xdr:row>
      <xdr:rowOff>182880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60960</xdr:colOff>
      <xdr:row>5</xdr:row>
      <xdr:rowOff>152400</xdr:rowOff>
    </xdr:from>
    <xdr:to>
      <xdr:col>8</xdr:col>
      <xdr:colOff>213360</xdr:colOff>
      <xdr:row>20</xdr:row>
      <xdr:rowOff>30480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1</xdr:row>
      <xdr:rowOff>182880</xdr:rowOff>
    </xdr:from>
    <xdr:to>
      <xdr:col>16</xdr:col>
      <xdr:colOff>198120</xdr:colOff>
      <xdr:row>21</xdr:row>
      <xdr:rowOff>144780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22860</xdr:colOff>
      <xdr:row>1</xdr:row>
      <xdr:rowOff>160020</xdr:rowOff>
    </xdr:from>
    <xdr:to>
      <xdr:col>11</xdr:col>
      <xdr:colOff>342900</xdr:colOff>
      <xdr:row>10</xdr:row>
      <xdr:rowOff>175260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357479</xdr:colOff>
      <xdr:row>2</xdr:row>
      <xdr:rowOff>2981</xdr:rowOff>
    </xdr:from>
    <xdr:to>
      <xdr:col>7</xdr:col>
      <xdr:colOff>258417</xdr:colOff>
      <xdr:row>11</xdr:row>
      <xdr:rowOff>59634</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640080</xdr:colOff>
      <xdr:row>3</xdr:row>
      <xdr:rowOff>15240</xdr:rowOff>
    </xdr:from>
    <xdr:to>
      <xdr:col>13</xdr:col>
      <xdr:colOff>106680</xdr:colOff>
      <xdr:row>21</xdr:row>
      <xdr:rowOff>167640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259080</xdr:colOff>
      <xdr:row>22</xdr:row>
      <xdr:rowOff>114300</xdr:rowOff>
    </xdr:from>
    <xdr:to>
      <xdr:col>15</xdr:col>
      <xdr:colOff>655320</xdr:colOff>
      <xdr:row>47</xdr:row>
      <xdr:rowOff>106680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74F9908-639F-A5C6-1C27-43A2FCAF46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45280" y="4472940"/>
              <a:ext cx="7101840" cy="49453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129540</xdr:colOff>
      <xdr:row>0</xdr:row>
      <xdr:rowOff>163830</xdr:rowOff>
    </xdr:from>
    <xdr:to>
      <xdr:col>15</xdr:col>
      <xdr:colOff>434340</xdr:colOff>
      <xdr:row>16</xdr:row>
      <xdr:rowOff>175260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4B71741-C2E4-2568-7426-B086E48950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77440" y="163830"/>
              <a:ext cx="8351520" cy="3181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26.596220254629" createdVersion="3" refreshedVersion="3" minRefreshableVersion="3" recordCount="400" xr:uid="{00000000-000A-0000-FFFF-FFFF00000000}">
  <cacheSource type="worksheet">
    <worksheetSource ref="A1:M401" sheet="DATA"/>
  </cacheSource>
  <cacheFields count="13">
    <cacheField name="name" numFmtId="49">
      <sharedItems/>
    </cacheField>
    <cacheField name="original price" numFmtId="2">
      <sharedItems containsSemiMixedTypes="0" containsString="0" containsNumber="1" containsInteger="1" minValue="153" maxValue="2999"/>
    </cacheField>
    <cacheField name="special price" numFmtId="164">
      <sharedItems containsSemiMixedTypes="0" containsString="0" containsNumber="1" containsInteger="1" minValue="109" maxValue="749"/>
    </cacheField>
    <cacheField name="discount" numFmtId="9">
      <sharedItems containsSemiMixedTypes="0" containsString="0" containsNumber="1" minValue="0.16" maxValue="0.91"/>
    </cacheField>
    <cacheField name="plant size" numFmtId="49">
      <sharedItems count="3">
        <s v="Medium"/>
        <s v="Small"/>
        <s v="Large"/>
      </sharedItems>
    </cacheField>
    <cacheField name="return policy" numFmtId="49">
      <sharedItems count="1">
        <s v="No Returns Allowed?"/>
      </sharedItems>
    </cacheField>
    <cacheField name="type" numFmtId="49">
      <sharedItems count="12">
        <s v="Foliage"/>
        <s v="Fruit"/>
        <s v="Flower"/>
        <s v="Herb"/>
        <s v="Air purifier plant"/>
        <s v="Succulent"/>
        <s v="Bamboo"/>
        <s v="Bonsai"/>
        <s v="Shrub"/>
        <s v="Tree"/>
        <s v="Creepers and Climbers"/>
        <s v="Vegetable"/>
      </sharedItems>
    </cacheField>
    <cacheField name="life cycle" numFmtId="49">
      <sharedItems count="3">
        <s v="Perennial"/>
        <s v="Annual"/>
        <s v="Biennial"/>
      </sharedItems>
    </cacheField>
    <cacheField name="location" numFmtId="49">
      <sharedItems count="3">
        <s v="Indoor"/>
        <s v="Both"/>
        <s v="Outdoor"/>
      </sharedItems>
    </cacheField>
    <cacheField name="feng shui" numFmtId="49">
      <sharedItems count="2">
        <s v="No"/>
        <s v="Yes"/>
      </sharedItems>
    </cacheField>
    <cacheField name="plant age" numFmtId="2">
      <sharedItems containsSemiMixedTypes="0" containsString="0" containsNumber="1" minValue="0" maxValue="50" count="20">
        <n v="1"/>
        <n v="0.5"/>
        <n v="3"/>
        <n v="50"/>
        <n v="15"/>
        <n v="0.8"/>
        <n v="0.2"/>
        <n v="0.3"/>
        <n v="4"/>
        <n v="5"/>
        <n v="24"/>
        <n v="0.9"/>
        <n v="1.5"/>
        <n v="2"/>
        <n v="0.6"/>
        <n v="10"/>
        <n v="12"/>
        <n v="20"/>
        <n v="0"/>
        <n v="6"/>
      </sharedItems>
    </cacheField>
    <cacheField name="hybride" numFmtId="49">
      <sharedItems count="2">
        <s v="No"/>
        <s v="Yes"/>
      </sharedItems>
    </cacheField>
    <cacheField name="brand" numFmtId="49">
      <sharedItems count="154">
        <s v="Pottplants"/>
        <s v="greenhousestore"/>
        <s v="Roy's Fashoin"/>
        <s v="FURYHUB"/>
        <s v="Global Mart Plant"/>
        <s v="Aquinnah Graden"/>
        <s v="Cloud Farm"/>
        <s v="FSK"/>
        <s v="AloGardening"/>
        <s v="Mrplant"/>
        <s v="pagoda point"/>
        <s v="UGAOO"/>
        <s v="LaughEarth"/>
        <s v="Ariya"/>
        <s v="PlantsEarth"/>
        <s v="Bijaya Online Store"/>
        <s v="ibains"/>
        <s v="Ukanda"/>
        <s v="EVY"/>
        <s v="GreenHorizon"/>
        <s v="Corofitam"/>
        <s v="Gabbro"/>
        <s v="Augadh"/>
        <s v="natikrd"/>
        <s v="PETALFLEUR"/>
        <s v="Tribute"/>
        <s v="HARIGURU"/>
        <s v="PLANTTOOZS"/>
        <s v="ZOOMGREEN"/>
        <s v="Linaa"/>
        <s v="AquinnahGaden"/>
        <s v="MAITRA AND SONS"/>
        <s v="HIGH TECH FARM"/>
        <s v="Grinian"/>
        <s v="GHF"/>
        <s v="Harshgreen"/>
        <s v="MircleGarden"/>
        <s v="rimardmistu"/>
        <s v="greengrow"/>
        <s v="PB honey priya plant"/>
        <s v="Kyari"/>
        <s v="Click to purchase"/>
        <s v="FasanGreen"/>
        <s v="PlantsMart"/>
        <s v="Skrhuvoy"/>
        <s v="Gereen View"/>
        <s v="BALA PLANT CREATION"/>
        <s v="ARYAN EVERGREEN"/>
        <s v="ADITYA GREEN PLANTS AGP"/>
        <s v="GreenGrowth"/>
        <s v="Royplant"/>
        <s v="GREENELAND"/>
        <s v="Click to buy"/>
        <s v="Hug A Plant"/>
        <s v="EarthAngel"/>
        <s v="KUMUBON"/>
        <s v="WZZA"/>
        <s v="PB HONEY PRIYA PLaNTS"/>
        <s v="jarr"/>
        <s v="Samarthgreens"/>
        <s v="PEDPOUDHE"/>
        <s v="E-GARDEN"/>
        <s v="Zomoloco"/>
        <s v="GaiaStore"/>
        <s v="Rm live plant"/>
        <s v="Vijay Sales"/>
        <s v="Tha live root Laxmi kamal"/>
        <s v="sealok"/>
        <s v="ABEFARIYA"/>
        <s v="Marinetree"/>
        <s v="K,M.GREEN"/>
        <s v="ADA"/>
        <s v="Aquinnah"/>
        <s v="AGAMI"/>
        <s v="EliteGreen"/>
        <s v="Nature House"/>
        <s v="NATURE WISE YOU"/>
        <s v="Heaven Of Saplings"/>
        <s v="PEEPALSFARM"/>
        <s v="Durga Green Garden"/>
        <s v="minatigreenhouse"/>
        <s v="LivePlant"/>
        <s v="Oxygreenplant"/>
        <s v="JD DAS AND SONS PLANTS"/>
        <s v="JASSI FLORA"/>
        <s v="Farmplants"/>
        <s v="varnicrea"/>
        <s v="Wavingleaf"/>
        <s v="The Four Seasons"/>
        <s v="RADHE SALES"/>
        <s v="Growerstore"/>
        <s v="My Dream Nursery"/>
        <s v="Unisam Bel patra plant Pot"/>
        <s v="RoyalTree"/>
        <s v="TECNOFEX"/>
        <s v="Majumder Enterprise"/>
        <s v="BRAZILIAN WOOD TREE"/>
        <s v="PlantsHub"/>
        <s v="ToGon"/>
        <s v="Krishna All Time Grafted"/>
        <s v="GLOBQRO"/>
        <s v="Risenshine"/>
        <s v="Agriclons and nusary"/>
        <s v="Laxmi kamal plant"/>
        <s v="MIDNIGHT MORNING"/>
        <s v="Tigress"/>
        <s v="JESAA GREENS"/>
        <s v="MAHAMAYA A TO Z"/>
        <s v="Axotic Diamond Grafted"/>
        <s v="bhowmick"/>
        <s v="Mohomaya"/>
        <s v="RudraECOM"/>
        <s v="SKDIYA"/>
        <s v="Green view"/>
        <s v="PlantsBazaar"/>
        <s v="SANJU"/>
        <s v="sspykrts"/>
        <s v="Ukaanda"/>
        <s v="Phoolistan"/>
        <s v="YourPlant"/>
        <s v="PLANTGENIC NATURE"/>
        <s v="Natural needs"/>
        <s v="Leafyjoy"/>
        <s v="KAVARI ENTERPRISE"/>
        <s v="TAWZIX"/>
        <s v="Aziz Gazi Nursery"/>
        <s v="Medhi"/>
        <s v="Saeedia plant hub"/>
        <s v="AGRAWBIC"/>
        <s v="Broken heart plant"/>
        <s v="Plant Paradise"/>
        <s v="Gardanglow"/>
        <s v="Flora Solutions"/>
        <s v="HouseOfCommon"/>
        <s v="Real Nature"/>
        <s v="GREENSEE"/>
        <s v="THE BHOWMICK"/>
        <s v="K.K.Enterprise"/>
        <s v="Gaingreen"/>
        <s v="saraswati traders"/>
        <s v="GROSSAMER"/>
        <s v="PlantShop"/>
        <s v="Tha live root vishnu kamal"/>
        <s v="NiMoj"/>
        <s v="ATIKNAM"/>
        <s v="L BRAZILIAN LUCKY WOOD PLANT"/>
        <s v="GeenLk"/>
        <s v="Elanthalir"/>
        <s v="Nursery Hub"/>
        <s v="Unisam Laxmi Lakshmi Kamal"/>
        <s v="plantsNpetals"/>
        <s v="TAYAN"/>
        <s v="GIRISHA TRADERS"/>
        <s v="RJGUDDU"/>
      </sharedItems>
    </cacheField>
  </cacheFields>
  <extLst>
    <ext xmlns:x14="http://schemas.microsoft.com/office/spreadsheetml/2009/9/main" uri="{725AE2AE-9491-48be-B2B4-4EB974FC3084}">
      <x14:pivotCacheDefinition pivotCacheId="994268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Pottplants Anthurium Plant  (Pack of 1)"/>
    <n v="499"/>
    <n v="199"/>
    <n v="0.6"/>
    <x v="0"/>
    <x v="0"/>
    <x v="0"/>
    <x v="0"/>
    <x v="0"/>
    <x v="0"/>
    <x v="0"/>
    <x v="0"/>
    <x v="0"/>
  </r>
  <r>
    <s v="greenhousestore Ficus Bonsai Plant  (Hybrid, Pack of 1)"/>
    <n v="599"/>
    <n v="130"/>
    <n v="0.78"/>
    <x v="1"/>
    <x v="0"/>
    <x v="1"/>
    <x v="1"/>
    <x v="1"/>
    <x v="1"/>
    <x v="0"/>
    <x v="1"/>
    <x v="1"/>
  </r>
  <r>
    <s v="Roy's Fashoin Brahma Kamal Plant  (Hybrid, Pack of 1)"/>
    <n v="499"/>
    <n v="249"/>
    <n v="0.5"/>
    <x v="0"/>
    <x v="0"/>
    <x v="2"/>
    <x v="0"/>
    <x v="1"/>
    <x v="0"/>
    <x v="0"/>
    <x v="1"/>
    <x v="2"/>
  </r>
  <r>
    <s v="FURYHUB Tomato Plant  (Hybrid, Pack of 1)"/>
    <n v="399"/>
    <n v="120"/>
    <n v="0.69"/>
    <x v="1"/>
    <x v="0"/>
    <x v="1"/>
    <x v="1"/>
    <x v="1"/>
    <x v="0"/>
    <x v="0"/>
    <x v="1"/>
    <x v="3"/>
  </r>
  <r>
    <s v="Global Mart Plant Pomegranate Plant  (Hybrid, Pack of 1)"/>
    <n v="398"/>
    <n v="124"/>
    <n v="0.68"/>
    <x v="1"/>
    <x v="0"/>
    <x v="1"/>
    <x v="0"/>
    <x v="1"/>
    <x v="0"/>
    <x v="0"/>
    <x v="1"/>
    <x v="4"/>
  </r>
  <r>
    <s v="greenhousestore Jackfruit Plant  (Hybrid, Pack of 1)"/>
    <n v="599"/>
    <n v="120"/>
    <n v="0.79"/>
    <x v="1"/>
    <x v="0"/>
    <x v="1"/>
    <x v="1"/>
    <x v="1"/>
    <x v="1"/>
    <x v="0"/>
    <x v="1"/>
    <x v="1"/>
  </r>
  <r>
    <s v="Aquinnah Graden White Sandalwood Plant  (Hybrid, Pack of 1)"/>
    <n v="489"/>
    <n v="125"/>
    <n v="0.74"/>
    <x v="1"/>
    <x v="0"/>
    <x v="3"/>
    <x v="1"/>
    <x v="1"/>
    <x v="1"/>
    <x v="0"/>
    <x v="1"/>
    <x v="5"/>
  </r>
  <r>
    <s v="Cloud Farm Gummy Gardenia Plant  (Hybrid, Pack of 1)"/>
    <n v="499"/>
    <n v="135"/>
    <n v="0.72"/>
    <x v="1"/>
    <x v="0"/>
    <x v="2"/>
    <x v="0"/>
    <x v="1"/>
    <x v="0"/>
    <x v="0"/>
    <x v="1"/>
    <x v="6"/>
  </r>
  <r>
    <s v="FSK Betel Nut/Supari Plant  (Hybrid, Pack of 1)"/>
    <n v="499"/>
    <n v="121"/>
    <n v="0.75"/>
    <x v="0"/>
    <x v="0"/>
    <x v="1"/>
    <x v="0"/>
    <x v="1"/>
    <x v="0"/>
    <x v="1"/>
    <x v="1"/>
    <x v="7"/>
  </r>
  <r>
    <s v="Cloud Farm Dragon Tree  (Hybrid, Pack of 3)"/>
    <n v="499"/>
    <n v="125"/>
    <n v="0.74"/>
    <x v="1"/>
    <x v="0"/>
    <x v="1"/>
    <x v="1"/>
    <x v="1"/>
    <x v="0"/>
    <x v="0"/>
    <x v="1"/>
    <x v="6"/>
  </r>
  <r>
    <s v="AloGardening Dragon Tree  (Hybrid, Pack of 2)"/>
    <n v="299"/>
    <n v="130"/>
    <n v="0.56000000000000005"/>
    <x v="1"/>
    <x v="0"/>
    <x v="1"/>
    <x v="0"/>
    <x v="1"/>
    <x v="0"/>
    <x v="0"/>
    <x v="1"/>
    <x v="8"/>
  </r>
  <r>
    <s v="Mrplant Jade Plant  (Pack of 1)"/>
    <n v="499"/>
    <n v="128"/>
    <n v="0.74"/>
    <x v="1"/>
    <x v="0"/>
    <x v="4"/>
    <x v="1"/>
    <x v="0"/>
    <x v="0"/>
    <x v="2"/>
    <x v="0"/>
    <x v="9"/>
  </r>
  <r>
    <s v="pagoda point Crasulla Ovata Plant  (Hybrid, Pack of 1)"/>
    <n v="405"/>
    <n v="130"/>
    <n v="0.67"/>
    <x v="1"/>
    <x v="0"/>
    <x v="5"/>
    <x v="1"/>
    <x v="1"/>
    <x v="1"/>
    <x v="3"/>
    <x v="1"/>
    <x v="10"/>
  </r>
  <r>
    <s v="UGAOO Bamboo Palm Plant  (Pack of 1)"/>
    <n v="499"/>
    <n v="279"/>
    <n v="0.44"/>
    <x v="1"/>
    <x v="0"/>
    <x v="6"/>
    <x v="1"/>
    <x v="0"/>
    <x v="0"/>
    <x v="0"/>
    <x v="0"/>
    <x v="11"/>
  </r>
  <r>
    <s v="LaughEarth White Sandalwood Plant  (Hybrid, Pack of 1)"/>
    <n v="499"/>
    <n v="140"/>
    <n v="0.71"/>
    <x v="1"/>
    <x v="0"/>
    <x v="5"/>
    <x v="1"/>
    <x v="1"/>
    <x v="1"/>
    <x v="4"/>
    <x v="1"/>
    <x v="12"/>
  </r>
  <r>
    <s v="Ariya Berry Plant  (Hybrid, Pack of 1)"/>
    <n v="799"/>
    <n v="126"/>
    <n v="0.84"/>
    <x v="0"/>
    <x v="0"/>
    <x v="1"/>
    <x v="0"/>
    <x v="2"/>
    <x v="0"/>
    <x v="0"/>
    <x v="1"/>
    <x v="13"/>
  </r>
  <r>
    <s v="PlantsEarth Hibiscus Plant  (Hybrid, Pack of 1)"/>
    <n v="422"/>
    <n v="120"/>
    <n v="0.71"/>
    <x v="1"/>
    <x v="0"/>
    <x v="2"/>
    <x v="0"/>
    <x v="1"/>
    <x v="0"/>
    <x v="0"/>
    <x v="1"/>
    <x v="14"/>
  </r>
  <r>
    <s v="Bijaya Online Store Areca Palm  (Hybrid, Pack of 3)"/>
    <n v="449"/>
    <n v="179"/>
    <n v="0.6"/>
    <x v="1"/>
    <x v="0"/>
    <x v="4"/>
    <x v="0"/>
    <x v="1"/>
    <x v="0"/>
    <x v="5"/>
    <x v="1"/>
    <x v="15"/>
  </r>
  <r>
    <s v="ibains Mini Brazalian wood  (Hybrid, Pack of 44)"/>
    <n v="399"/>
    <n v="186"/>
    <n v="0.53"/>
    <x v="0"/>
    <x v="0"/>
    <x v="7"/>
    <x v="0"/>
    <x v="0"/>
    <x v="1"/>
    <x v="0"/>
    <x v="1"/>
    <x v="16"/>
  </r>
  <r>
    <s v="AloGardening Guava Plant  (Hybrid, Pack of 1)"/>
    <n v="399"/>
    <n v="185"/>
    <n v="0.53"/>
    <x v="1"/>
    <x v="0"/>
    <x v="1"/>
    <x v="0"/>
    <x v="1"/>
    <x v="0"/>
    <x v="0"/>
    <x v="1"/>
    <x v="8"/>
  </r>
  <r>
    <s v="AloGardening Dragon Tree  (Hybrid, Pack of 6)"/>
    <n v="399"/>
    <n v="160"/>
    <n v="0.59"/>
    <x v="1"/>
    <x v="0"/>
    <x v="1"/>
    <x v="1"/>
    <x v="1"/>
    <x v="0"/>
    <x v="0"/>
    <x v="1"/>
    <x v="8"/>
  </r>
  <r>
    <s v="Ukanda Hibiscus Plant  (Hybrid, Pack of 1)"/>
    <n v="399"/>
    <n v="119"/>
    <n v="0.7"/>
    <x v="1"/>
    <x v="0"/>
    <x v="2"/>
    <x v="1"/>
    <x v="1"/>
    <x v="1"/>
    <x v="1"/>
    <x v="1"/>
    <x v="17"/>
  </r>
  <r>
    <s v="AloGardening Ber Apple Plant  (Hybrid, Pack of 1)"/>
    <n v="235"/>
    <n v="139"/>
    <n v="0.4"/>
    <x v="1"/>
    <x v="0"/>
    <x v="1"/>
    <x v="0"/>
    <x v="1"/>
    <x v="0"/>
    <x v="6"/>
    <x v="1"/>
    <x v="8"/>
  </r>
  <r>
    <s v="EVY Shami/Jand Plant  (Hybrid, Pack of 1)"/>
    <n v="299"/>
    <n v="118"/>
    <n v="0.6"/>
    <x v="1"/>
    <x v="0"/>
    <x v="3"/>
    <x v="1"/>
    <x v="1"/>
    <x v="0"/>
    <x v="0"/>
    <x v="1"/>
    <x v="18"/>
  </r>
  <r>
    <s v="greenhousestore Hibiscus Plant  (Hybrid, Pack of 1)"/>
    <n v="599"/>
    <n v="149"/>
    <n v="0.75"/>
    <x v="1"/>
    <x v="0"/>
    <x v="2"/>
    <x v="1"/>
    <x v="1"/>
    <x v="1"/>
    <x v="0"/>
    <x v="1"/>
    <x v="1"/>
  </r>
  <r>
    <s v="GreenHorizon Rudraksha Plant  (Hybrid, Pack of 1)"/>
    <n v="663"/>
    <n v="118"/>
    <n v="0.82"/>
    <x v="1"/>
    <x v="0"/>
    <x v="1"/>
    <x v="0"/>
    <x v="1"/>
    <x v="0"/>
    <x v="7"/>
    <x v="1"/>
    <x v="19"/>
  </r>
  <r>
    <s v="Corofitam Jamun Plant  (Hybrid, Pack of 1)"/>
    <n v="399"/>
    <n v="123"/>
    <n v="0.69"/>
    <x v="1"/>
    <x v="0"/>
    <x v="1"/>
    <x v="0"/>
    <x v="1"/>
    <x v="1"/>
    <x v="0"/>
    <x v="1"/>
    <x v="20"/>
  </r>
  <r>
    <s v="Ukanda Bay Leaf Plant  (Hybrid, Pack of 1)"/>
    <n v="349"/>
    <n v="126"/>
    <n v="0.63"/>
    <x v="1"/>
    <x v="0"/>
    <x v="3"/>
    <x v="0"/>
    <x v="1"/>
    <x v="1"/>
    <x v="1"/>
    <x v="1"/>
    <x v="17"/>
  </r>
  <r>
    <s v="Gabbro Two Layer Bamboo Plant  (Hybrid, Pack of 2)"/>
    <n v="999"/>
    <n v="499"/>
    <n v="0.5"/>
    <x v="1"/>
    <x v="0"/>
    <x v="6"/>
    <x v="0"/>
    <x v="0"/>
    <x v="1"/>
    <x v="8"/>
    <x v="1"/>
    <x v="21"/>
  </r>
  <r>
    <s v="Cloud Farm Tuberose/Rajnigandha Plant  (Hybrid, Pack of 1)"/>
    <n v="499"/>
    <n v="121"/>
    <n v="0.75"/>
    <x v="0"/>
    <x v="0"/>
    <x v="3"/>
    <x v="0"/>
    <x v="1"/>
    <x v="0"/>
    <x v="0"/>
    <x v="1"/>
    <x v="6"/>
  </r>
  <r>
    <s v="Augadh Orange Plant  (Hybrid, Pack of 1)"/>
    <n v="299"/>
    <n v="115"/>
    <n v="0.61"/>
    <x v="0"/>
    <x v="0"/>
    <x v="1"/>
    <x v="0"/>
    <x v="1"/>
    <x v="0"/>
    <x v="0"/>
    <x v="1"/>
    <x v="22"/>
  </r>
  <r>
    <s v="natikrd Chrysanthemums/ Guldavari Plant  (Hybrid, Pack of 1)"/>
    <n v="499"/>
    <n v="140"/>
    <n v="0.71"/>
    <x v="1"/>
    <x v="0"/>
    <x v="2"/>
    <x v="0"/>
    <x v="1"/>
    <x v="0"/>
    <x v="0"/>
    <x v="1"/>
    <x v="23"/>
  </r>
  <r>
    <s v="PETALFLEUR Adenium Plant  (Hybrid, Pack of 1)"/>
    <n v="399"/>
    <n v="140"/>
    <n v="0.64"/>
    <x v="1"/>
    <x v="0"/>
    <x v="2"/>
    <x v="0"/>
    <x v="1"/>
    <x v="0"/>
    <x v="0"/>
    <x v="1"/>
    <x v="24"/>
  </r>
  <r>
    <s v="Tribute Giloy Plant  (Pack of 20)"/>
    <n v="489"/>
    <n v="140"/>
    <n v="0.71"/>
    <x v="1"/>
    <x v="0"/>
    <x v="3"/>
    <x v="0"/>
    <x v="1"/>
    <x v="0"/>
    <x v="9"/>
    <x v="0"/>
    <x v="25"/>
  </r>
  <r>
    <s v="greenhousestore Shami/Jand Plant  (Hybrid, Pack of 1)"/>
    <n v="599"/>
    <n v="123"/>
    <n v="0.79"/>
    <x v="1"/>
    <x v="0"/>
    <x v="5"/>
    <x v="1"/>
    <x v="1"/>
    <x v="1"/>
    <x v="0"/>
    <x v="1"/>
    <x v="1"/>
  </r>
  <r>
    <s v="greenhousestore Orchid Plant  (Hybrid, Pack of 1)"/>
    <n v="549"/>
    <n v="127"/>
    <n v="0.76"/>
    <x v="1"/>
    <x v="0"/>
    <x v="2"/>
    <x v="1"/>
    <x v="1"/>
    <x v="1"/>
    <x v="0"/>
    <x v="1"/>
    <x v="1"/>
  </r>
  <r>
    <s v="HARIGURU Aparajita/ Butterfly Pea Plant  (Hybrid, Pack of 1)"/>
    <n v="299"/>
    <n v="180"/>
    <n v="0.39"/>
    <x v="0"/>
    <x v="0"/>
    <x v="2"/>
    <x v="2"/>
    <x v="1"/>
    <x v="1"/>
    <x v="1"/>
    <x v="1"/>
    <x v="26"/>
  </r>
  <r>
    <s v="PLANTTOOZS White Sandalwood Plant  (Hybrid, Pack of 1)"/>
    <n v="399"/>
    <n v="130"/>
    <n v="0.67"/>
    <x v="1"/>
    <x v="0"/>
    <x v="5"/>
    <x v="1"/>
    <x v="1"/>
    <x v="1"/>
    <x v="0"/>
    <x v="1"/>
    <x v="27"/>
  </r>
  <r>
    <s v="ZOOMGREEN Aglaonema Plant  (Hybrid, Pack of 1)"/>
    <n v="499"/>
    <n v="258"/>
    <n v="0.48"/>
    <x v="0"/>
    <x v="0"/>
    <x v="4"/>
    <x v="1"/>
    <x v="0"/>
    <x v="0"/>
    <x v="0"/>
    <x v="1"/>
    <x v="28"/>
  </r>
  <r>
    <s v="greenhousestore Grapes Plant  (Hybrid, Pack of 1)"/>
    <n v="599"/>
    <n v="125"/>
    <n v="0.79"/>
    <x v="1"/>
    <x v="0"/>
    <x v="1"/>
    <x v="1"/>
    <x v="1"/>
    <x v="1"/>
    <x v="0"/>
    <x v="1"/>
    <x v="1"/>
  </r>
  <r>
    <s v="Linaa Jade Plant  (Hybrid, Pack of 1)"/>
    <n v="999"/>
    <n v="125"/>
    <n v="0.87"/>
    <x v="1"/>
    <x v="0"/>
    <x v="7"/>
    <x v="1"/>
    <x v="1"/>
    <x v="1"/>
    <x v="0"/>
    <x v="1"/>
    <x v="29"/>
  </r>
  <r>
    <s v="ZOOMGREEN Aglaonema Plant  (Hybrid, Pack of 1)"/>
    <n v="499"/>
    <n v="258"/>
    <n v="0.48"/>
    <x v="0"/>
    <x v="0"/>
    <x v="4"/>
    <x v="1"/>
    <x v="0"/>
    <x v="0"/>
    <x v="0"/>
    <x v="1"/>
    <x v="28"/>
  </r>
  <r>
    <s v="HARIGURU Aparajita/ Butterfly Pea Plant  (Hybrid, Pack of 1)"/>
    <n v="299"/>
    <n v="180"/>
    <n v="0.39"/>
    <x v="0"/>
    <x v="0"/>
    <x v="2"/>
    <x v="2"/>
    <x v="1"/>
    <x v="1"/>
    <x v="1"/>
    <x v="1"/>
    <x v="26"/>
  </r>
  <r>
    <s v="greenhousestore Orchid Plant  (Hybrid, Pack of 1)"/>
    <n v="549"/>
    <n v="127"/>
    <n v="0.76"/>
    <x v="1"/>
    <x v="0"/>
    <x v="2"/>
    <x v="1"/>
    <x v="1"/>
    <x v="1"/>
    <x v="0"/>
    <x v="1"/>
    <x v="1"/>
  </r>
  <r>
    <s v="greenhousestore Grapes Plant  (Hybrid, Pack of 1)"/>
    <n v="599"/>
    <n v="125"/>
    <n v="0.79"/>
    <x v="1"/>
    <x v="0"/>
    <x v="1"/>
    <x v="1"/>
    <x v="1"/>
    <x v="1"/>
    <x v="0"/>
    <x v="1"/>
    <x v="1"/>
  </r>
  <r>
    <s v="PLANTTOOZS White Sandalwood Plant  (Hybrid, Pack of 1)"/>
    <n v="399"/>
    <n v="130"/>
    <n v="0.67"/>
    <x v="1"/>
    <x v="0"/>
    <x v="5"/>
    <x v="1"/>
    <x v="1"/>
    <x v="1"/>
    <x v="0"/>
    <x v="1"/>
    <x v="27"/>
  </r>
  <r>
    <s v="AquinnahGaden Pistachio Plant  (Hybrid, Pack of 1)"/>
    <n v="499"/>
    <n v="189"/>
    <n v="0.62"/>
    <x v="0"/>
    <x v="0"/>
    <x v="1"/>
    <x v="1"/>
    <x v="1"/>
    <x v="1"/>
    <x v="0"/>
    <x v="1"/>
    <x v="30"/>
  </r>
  <r>
    <s v="MAITRA AND SONS Areca Plam  (Hybrid, Pack of 1)"/>
    <n v="199"/>
    <n v="132"/>
    <n v="0.33"/>
    <x v="0"/>
    <x v="0"/>
    <x v="8"/>
    <x v="0"/>
    <x v="0"/>
    <x v="1"/>
    <x v="0"/>
    <x v="1"/>
    <x v="31"/>
  </r>
  <r>
    <s v="HIGH TECH FARM Wax Apple Plant  (Hybrid, Pack of 1)"/>
    <n v="499"/>
    <n v="123"/>
    <n v="0.75"/>
    <x v="0"/>
    <x v="0"/>
    <x v="1"/>
    <x v="0"/>
    <x v="1"/>
    <x v="0"/>
    <x v="0"/>
    <x v="1"/>
    <x v="32"/>
  </r>
  <r>
    <s v="Grinian Spider Plant  (Hybrid, Pack of 1)"/>
    <n v="489"/>
    <n v="165"/>
    <n v="0.66"/>
    <x v="1"/>
    <x v="0"/>
    <x v="0"/>
    <x v="0"/>
    <x v="0"/>
    <x v="1"/>
    <x v="0"/>
    <x v="1"/>
    <x v="33"/>
  </r>
  <r>
    <s v="GHF Two Layer Bamboo Plant  (Pack of 1)"/>
    <n v="399"/>
    <n v="256"/>
    <n v="0.35"/>
    <x v="1"/>
    <x v="0"/>
    <x v="6"/>
    <x v="1"/>
    <x v="0"/>
    <x v="1"/>
    <x v="0"/>
    <x v="0"/>
    <x v="34"/>
  </r>
  <r>
    <s v="PLANTTOOZS Coconut Plant  (Pack of 1)"/>
    <n v="904"/>
    <n v="196"/>
    <n v="0.78"/>
    <x v="0"/>
    <x v="0"/>
    <x v="1"/>
    <x v="0"/>
    <x v="1"/>
    <x v="0"/>
    <x v="0"/>
    <x v="0"/>
    <x v="27"/>
  </r>
  <r>
    <s v="greenhousestore Curry Leaf Plant  (Hybrid, Pack of 1)"/>
    <n v="599"/>
    <n v="125"/>
    <n v="0.79"/>
    <x v="1"/>
    <x v="0"/>
    <x v="3"/>
    <x v="1"/>
    <x v="1"/>
    <x v="1"/>
    <x v="0"/>
    <x v="1"/>
    <x v="1"/>
  </r>
  <r>
    <s v="AquinnahGaden Brahma Kamal Plant  (Hybrid, Pack of 1)"/>
    <n v="350"/>
    <n v="126"/>
    <n v="0.64"/>
    <x v="0"/>
    <x v="0"/>
    <x v="2"/>
    <x v="1"/>
    <x v="1"/>
    <x v="1"/>
    <x v="0"/>
    <x v="1"/>
    <x v="30"/>
  </r>
  <r>
    <s v="Harshgreen Two Layer Bamboo Plant  (Pack of 2)"/>
    <n v="799"/>
    <n v="381"/>
    <n v="0.52"/>
    <x v="0"/>
    <x v="0"/>
    <x v="6"/>
    <x v="1"/>
    <x v="1"/>
    <x v="1"/>
    <x v="10"/>
    <x v="0"/>
    <x v="35"/>
  </r>
  <r>
    <s v="EVY Rudraksha Plant  (Hybrid, Pack of 1)"/>
    <n v="299"/>
    <n v="114"/>
    <n v="0.61"/>
    <x v="1"/>
    <x v="0"/>
    <x v="5"/>
    <x v="1"/>
    <x v="1"/>
    <x v="0"/>
    <x v="0"/>
    <x v="1"/>
    <x v="18"/>
  </r>
  <r>
    <s v="MircleGarden Tulsi Plant  (Hybrid, Pack of 1)"/>
    <n v="249"/>
    <n v="120"/>
    <n v="0.51"/>
    <x v="1"/>
    <x v="0"/>
    <x v="3"/>
    <x v="0"/>
    <x v="1"/>
    <x v="1"/>
    <x v="0"/>
    <x v="1"/>
    <x v="36"/>
  </r>
  <r>
    <s v="Cloud Farm Adenium Plant  (Hybrid, Pack of 5)"/>
    <n v="499"/>
    <n v="399"/>
    <n v="0.68"/>
    <x v="1"/>
    <x v="0"/>
    <x v="2"/>
    <x v="0"/>
    <x v="1"/>
    <x v="0"/>
    <x v="0"/>
    <x v="1"/>
    <x v="6"/>
  </r>
  <r>
    <s v="UGAOO Broken Heart Plant  (Hybrid, Pack of 1)"/>
    <n v="449"/>
    <n v="299"/>
    <n v="0.33"/>
    <x v="1"/>
    <x v="0"/>
    <x v="4"/>
    <x v="1"/>
    <x v="0"/>
    <x v="0"/>
    <x v="0"/>
    <x v="1"/>
    <x v="11"/>
  </r>
  <r>
    <s v="AquinnahGaden Areca Palm  (Hybrid, Pack of 1)"/>
    <n v="499"/>
    <n v="139"/>
    <n v="0.72"/>
    <x v="0"/>
    <x v="0"/>
    <x v="0"/>
    <x v="1"/>
    <x v="1"/>
    <x v="1"/>
    <x v="0"/>
    <x v="1"/>
    <x v="30"/>
  </r>
  <r>
    <s v="rimardmistu Drumstick Tree Plant  (Hybrid, Pack of 1)"/>
    <n v="599"/>
    <n v="226"/>
    <n v="0.62"/>
    <x v="0"/>
    <x v="0"/>
    <x v="3"/>
    <x v="0"/>
    <x v="1"/>
    <x v="1"/>
    <x v="0"/>
    <x v="1"/>
    <x v="37"/>
  </r>
  <r>
    <s v="greengrow Neem Plant  (Hybrid, Pack of 1)"/>
    <n v="589"/>
    <n v="125"/>
    <n v="0.78"/>
    <x v="1"/>
    <x v="0"/>
    <x v="0"/>
    <x v="1"/>
    <x v="1"/>
    <x v="1"/>
    <x v="0"/>
    <x v="1"/>
    <x v="38"/>
  </r>
  <r>
    <s v="greenhousestore Apple Plant  (Hybrid, Pack of 1)"/>
    <n v="408"/>
    <n v="118"/>
    <n v="0.71"/>
    <x v="0"/>
    <x v="0"/>
    <x v="1"/>
    <x v="0"/>
    <x v="1"/>
    <x v="1"/>
    <x v="0"/>
    <x v="1"/>
    <x v="1"/>
  </r>
  <r>
    <s v="PB honey priya plant Shami/Jand Plant  (Hybrid, Pack of 1)"/>
    <n v="398"/>
    <n v="118"/>
    <n v="0.7"/>
    <x v="1"/>
    <x v="0"/>
    <x v="3"/>
    <x v="0"/>
    <x v="1"/>
    <x v="1"/>
    <x v="0"/>
    <x v="1"/>
    <x v="39"/>
  </r>
  <r>
    <s v="Kyari Jade Plant  (Pack of 1)"/>
    <n v="499"/>
    <n v="149"/>
    <n v="0.7"/>
    <x v="1"/>
    <x v="0"/>
    <x v="0"/>
    <x v="0"/>
    <x v="0"/>
    <x v="0"/>
    <x v="0"/>
    <x v="0"/>
    <x v="40"/>
  </r>
  <r>
    <s v="Click to purchase Madhu Kamini Plant  (Hybrid, Pack of 1)"/>
    <n v="270"/>
    <n v="132"/>
    <n v="0.51"/>
    <x v="1"/>
    <x v="0"/>
    <x v="2"/>
    <x v="0"/>
    <x v="1"/>
    <x v="0"/>
    <x v="6"/>
    <x v="1"/>
    <x v="41"/>
  </r>
  <r>
    <s v="FasanGreen Jasmine Plant  (Hybrid, Pack of 1)"/>
    <n v="249"/>
    <n v="119"/>
    <n v="0.52"/>
    <x v="1"/>
    <x v="0"/>
    <x v="2"/>
    <x v="0"/>
    <x v="1"/>
    <x v="1"/>
    <x v="0"/>
    <x v="1"/>
    <x v="42"/>
  </r>
  <r>
    <s v="AquinnahGaden Black Pepper Plant  (Hybrid, Pack of 2)"/>
    <n v="489"/>
    <n v="149"/>
    <n v="0.69"/>
    <x v="0"/>
    <x v="0"/>
    <x v="3"/>
    <x v="1"/>
    <x v="1"/>
    <x v="1"/>
    <x v="0"/>
    <x v="1"/>
    <x v="30"/>
  </r>
  <r>
    <s v="PlantsMart Hibiscus Plant  (Hybrid, Pack of 1)"/>
    <n v="229"/>
    <n v="120"/>
    <n v="0.47"/>
    <x v="1"/>
    <x v="0"/>
    <x v="2"/>
    <x v="0"/>
    <x v="1"/>
    <x v="0"/>
    <x v="11"/>
    <x v="1"/>
    <x v="43"/>
  </r>
  <r>
    <s v="Skrhuvoy Coleus Plant  (Pack of 1)"/>
    <n v="399"/>
    <n v="160"/>
    <n v="0.59"/>
    <x v="1"/>
    <x v="0"/>
    <x v="9"/>
    <x v="0"/>
    <x v="0"/>
    <x v="0"/>
    <x v="0"/>
    <x v="0"/>
    <x v="44"/>
  </r>
  <r>
    <s v="Cloud Farm Grapes Plant  (Hybrid, Pack of 1)"/>
    <n v="499"/>
    <n v="135"/>
    <n v="0.72"/>
    <x v="1"/>
    <x v="0"/>
    <x v="1"/>
    <x v="0"/>
    <x v="1"/>
    <x v="1"/>
    <x v="0"/>
    <x v="1"/>
    <x v="6"/>
  </r>
  <r>
    <s v="Gereen View Bel Plant  (Hybrid, Pack of 1)"/>
    <n v="699"/>
    <n v="127"/>
    <n v="0.81"/>
    <x v="1"/>
    <x v="0"/>
    <x v="9"/>
    <x v="0"/>
    <x v="1"/>
    <x v="0"/>
    <x v="12"/>
    <x v="1"/>
    <x v="45"/>
  </r>
  <r>
    <s v="BALA PLANT CREATION Cherry Fruit Plant  (Hybrid, Pack of 1)"/>
    <n v="499"/>
    <n v="122"/>
    <n v="0.75"/>
    <x v="0"/>
    <x v="0"/>
    <x v="1"/>
    <x v="1"/>
    <x v="1"/>
    <x v="1"/>
    <x v="0"/>
    <x v="1"/>
    <x v="46"/>
  </r>
  <r>
    <s v="ARYAN EVERGREEN Rose Plant  (Hybrid, Pack of 1)"/>
    <n v="339"/>
    <n v="115"/>
    <n v="0.66"/>
    <x v="1"/>
    <x v="0"/>
    <x v="2"/>
    <x v="0"/>
    <x v="1"/>
    <x v="0"/>
    <x v="0"/>
    <x v="1"/>
    <x v="47"/>
  </r>
  <r>
    <s v="ADITYA GREEN PLANTS AGP Bacopa Monnieri  (Pack of 1)"/>
    <n v="399"/>
    <n v="118"/>
    <n v="0.7"/>
    <x v="1"/>
    <x v="0"/>
    <x v="3"/>
    <x v="1"/>
    <x v="1"/>
    <x v="0"/>
    <x v="0"/>
    <x v="0"/>
    <x v="48"/>
  </r>
  <r>
    <s v="Cloud Farm Durian Plant  (Hybrid, Pack of 1)"/>
    <n v="499"/>
    <n v="122"/>
    <n v="0.75"/>
    <x v="1"/>
    <x v="0"/>
    <x v="1"/>
    <x v="0"/>
    <x v="1"/>
    <x v="0"/>
    <x v="0"/>
    <x v="1"/>
    <x v="6"/>
  </r>
  <r>
    <s v="Global Mart Plant Mini Brazalian wood  (Hybrid, Pack of 1)"/>
    <n v="399"/>
    <n v="125"/>
    <n v="0.68"/>
    <x v="0"/>
    <x v="0"/>
    <x v="6"/>
    <x v="0"/>
    <x v="1"/>
    <x v="1"/>
    <x v="0"/>
    <x v="1"/>
    <x v="4"/>
  </r>
  <r>
    <s v="GreenHorizon Guava Plant  (Hybrid, Pack of 1)"/>
    <n v="250"/>
    <n v="120"/>
    <n v="0.52"/>
    <x v="1"/>
    <x v="0"/>
    <x v="1"/>
    <x v="0"/>
    <x v="1"/>
    <x v="0"/>
    <x v="0"/>
    <x v="1"/>
    <x v="19"/>
  </r>
  <r>
    <s v="greenhousestore Apple Plant  (Hybrid, Pack of 1)"/>
    <n v="599"/>
    <n v="117"/>
    <n v="0.8"/>
    <x v="1"/>
    <x v="0"/>
    <x v="1"/>
    <x v="1"/>
    <x v="1"/>
    <x v="1"/>
    <x v="0"/>
    <x v="1"/>
    <x v="1"/>
  </r>
  <r>
    <s v="FURYHUB Portulaca Plant  (Hybrid, Pack of 1)"/>
    <n v="399"/>
    <n v="134"/>
    <n v="0.66"/>
    <x v="1"/>
    <x v="0"/>
    <x v="2"/>
    <x v="1"/>
    <x v="1"/>
    <x v="0"/>
    <x v="0"/>
    <x v="1"/>
    <x v="3"/>
  </r>
  <r>
    <s v="greenhousestore Wax Apple Plant  (Hybrid, Pack of 1)"/>
    <n v="599"/>
    <n v="135"/>
    <n v="0.77"/>
    <x v="1"/>
    <x v="0"/>
    <x v="1"/>
    <x v="1"/>
    <x v="1"/>
    <x v="1"/>
    <x v="0"/>
    <x v="1"/>
    <x v="1"/>
  </r>
  <r>
    <s v="GreenGrowth Orchid Plant  (Hybrid, Pack of 4)"/>
    <n v="799"/>
    <n v="146"/>
    <n v="0.81"/>
    <x v="1"/>
    <x v="0"/>
    <x v="9"/>
    <x v="1"/>
    <x v="1"/>
    <x v="0"/>
    <x v="6"/>
    <x v="1"/>
    <x v="49"/>
  </r>
  <r>
    <s v="Royplant Snake Plant  (Hybrid, Pack of 1)"/>
    <n v="432"/>
    <n v="135"/>
    <n v="0.68"/>
    <x v="1"/>
    <x v="0"/>
    <x v="0"/>
    <x v="0"/>
    <x v="1"/>
    <x v="1"/>
    <x v="0"/>
    <x v="1"/>
    <x v="50"/>
  </r>
  <r>
    <s v="Cloud Farm Rose Plant  (Hybrid, Pack of 1)"/>
    <n v="499"/>
    <n v="119"/>
    <n v="0.76"/>
    <x v="1"/>
    <x v="0"/>
    <x v="2"/>
    <x v="0"/>
    <x v="1"/>
    <x v="0"/>
    <x v="0"/>
    <x v="1"/>
    <x v="6"/>
  </r>
  <r>
    <s v="GREENELAND lotus  (Hybrid, Pack of 1)"/>
    <n v="153"/>
    <n v="112"/>
    <n v="0.26"/>
    <x v="1"/>
    <x v="0"/>
    <x v="2"/>
    <x v="1"/>
    <x v="1"/>
    <x v="1"/>
    <x v="0"/>
    <x v="1"/>
    <x v="51"/>
  </r>
  <r>
    <s v="Click to buy Calathea Dottie  (Hybrid, Pack of 1)"/>
    <n v="999"/>
    <n v="146"/>
    <n v="0.85"/>
    <x v="1"/>
    <x v="0"/>
    <x v="0"/>
    <x v="0"/>
    <x v="1"/>
    <x v="1"/>
    <x v="0"/>
    <x v="1"/>
    <x v="52"/>
  </r>
  <r>
    <s v="Hug A Plant Vanilla Plant  (Hybrid, Pack of 1)"/>
    <n v="799"/>
    <n v="399"/>
    <n v="0.5"/>
    <x v="1"/>
    <x v="0"/>
    <x v="10"/>
    <x v="0"/>
    <x v="1"/>
    <x v="0"/>
    <x v="0"/>
    <x v="1"/>
    <x v="53"/>
  </r>
  <r>
    <s v="greengrow Snake Plant  (Hybrid, Pack of 1)"/>
    <n v="499"/>
    <n v="191"/>
    <n v="0.61"/>
    <x v="1"/>
    <x v="0"/>
    <x v="8"/>
    <x v="1"/>
    <x v="1"/>
    <x v="1"/>
    <x v="0"/>
    <x v="1"/>
    <x v="38"/>
  </r>
  <r>
    <s v="EarthAngel Rose Plant  (Hybrid, Pack of 1)"/>
    <n v="499"/>
    <n v="124"/>
    <n v="0.75"/>
    <x v="1"/>
    <x v="0"/>
    <x v="2"/>
    <x v="1"/>
    <x v="1"/>
    <x v="1"/>
    <x v="1"/>
    <x v="1"/>
    <x v="54"/>
  </r>
  <r>
    <s v="KUMUBON Begonia Vanusta Plant  (Pack of 1)"/>
    <n v="299"/>
    <n v="161"/>
    <n v="0.46"/>
    <x v="0"/>
    <x v="0"/>
    <x v="2"/>
    <x v="0"/>
    <x v="1"/>
    <x v="0"/>
    <x v="0"/>
    <x v="0"/>
    <x v="55"/>
  </r>
  <r>
    <s v="greenhousestore ZZ Plant  (Hybrid, Pack of 1)"/>
    <n v="599"/>
    <n v="125"/>
    <n v="0.79"/>
    <x v="1"/>
    <x v="0"/>
    <x v="1"/>
    <x v="1"/>
    <x v="1"/>
    <x v="1"/>
    <x v="0"/>
    <x v="1"/>
    <x v="1"/>
  </r>
  <r>
    <s v="greenhousestore Star Fruit Carambola Grafted Plant  (Hybrid, Pack of 1)"/>
    <n v="376"/>
    <n v="121"/>
    <n v="0.67"/>
    <x v="1"/>
    <x v="0"/>
    <x v="1"/>
    <x v="0"/>
    <x v="0"/>
    <x v="1"/>
    <x v="0"/>
    <x v="1"/>
    <x v="1"/>
  </r>
  <r>
    <s v="HARIGURU Shahtoot/Mulberry Plant  (Hybrid, Pack of 1)"/>
    <n v="299"/>
    <n v="189"/>
    <n v="0.36"/>
    <x v="0"/>
    <x v="0"/>
    <x v="1"/>
    <x v="2"/>
    <x v="1"/>
    <x v="1"/>
    <x v="1"/>
    <x v="1"/>
    <x v="26"/>
  </r>
  <r>
    <s v="greenhousestore Aloe Vera Plant  (Hybrid, Pack of 1)"/>
    <n v="599"/>
    <n v="220"/>
    <n v="0.63"/>
    <x v="1"/>
    <x v="0"/>
    <x v="3"/>
    <x v="1"/>
    <x v="1"/>
    <x v="1"/>
    <x v="0"/>
    <x v="1"/>
    <x v="1"/>
  </r>
  <r>
    <s v="WZZA Laxmi Kamal Plant  (Hybrid, Pack of 1)"/>
    <n v="499"/>
    <n v="297"/>
    <n v="0.4"/>
    <x v="1"/>
    <x v="0"/>
    <x v="5"/>
    <x v="1"/>
    <x v="1"/>
    <x v="1"/>
    <x v="13"/>
    <x v="1"/>
    <x v="56"/>
  </r>
  <r>
    <s v="FSK Cinnamon Plant  (Hybrid, Pack of 1)"/>
    <n v="419"/>
    <n v="133"/>
    <n v="0.68"/>
    <x v="0"/>
    <x v="0"/>
    <x v="3"/>
    <x v="0"/>
    <x v="1"/>
    <x v="1"/>
    <x v="0"/>
    <x v="1"/>
    <x v="7"/>
  </r>
  <r>
    <s v="GHF Two Layer Bamboo Plant  (Hybrid, Pack of 1)"/>
    <n v="399"/>
    <n v="174"/>
    <n v="0.56000000000000005"/>
    <x v="1"/>
    <x v="0"/>
    <x v="6"/>
    <x v="0"/>
    <x v="0"/>
    <x v="1"/>
    <x v="8"/>
    <x v="1"/>
    <x v="34"/>
  </r>
  <r>
    <s v="greenhousestore Jack Fruit Plant  (Hybrid, Pack of 1)"/>
    <n v="598"/>
    <n v="139"/>
    <n v="0.76"/>
    <x v="1"/>
    <x v="0"/>
    <x v="1"/>
    <x v="1"/>
    <x v="1"/>
    <x v="1"/>
    <x v="0"/>
    <x v="1"/>
    <x v="1"/>
  </r>
  <r>
    <s v="PB HONEY PRIYA PLaNTS Bluebell barleria Plant  (Hybrid, Pack of 1)"/>
    <n v="299"/>
    <n v="175"/>
    <n v="0.41"/>
    <x v="0"/>
    <x v="0"/>
    <x v="1"/>
    <x v="1"/>
    <x v="1"/>
    <x v="1"/>
    <x v="0"/>
    <x v="1"/>
    <x v="57"/>
  </r>
  <r>
    <s v="jarr Money Plant  (Hybrid, Pack of 1)"/>
    <n v="499"/>
    <n v="125"/>
    <n v="0.74"/>
    <x v="1"/>
    <x v="0"/>
    <x v="4"/>
    <x v="0"/>
    <x v="1"/>
    <x v="1"/>
    <x v="0"/>
    <x v="1"/>
    <x v="58"/>
  </r>
  <r>
    <s v="PB honey priya plant Star Fruit Carambola Grafted Plant  (Hybrid, Pack of 1)"/>
    <n v="398"/>
    <n v="124"/>
    <n v="0.68"/>
    <x v="0"/>
    <x v="0"/>
    <x v="1"/>
    <x v="2"/>
    <x v="1"/>
    <x v="1"/>
    <x v="0"/>
    <x v="1"/>
    <x v="39"/>
  </r>
  <r>
    <s v="greenhousestore Madhumalti/Rangoon Creeper  (Hybrid, Pack of 1)"/>
    <n v="313"/>
    <n v="120"/>
    <n v="0.61"/>
    <x v="0"/>
    <x v="0"/>
    <x v="2"/>
    <x v="0"/>
    <x v="1"/>
    <x v="1"/>
    <x v="0"/>
    <x v="1"/>
    <x v="1"/>
  </r>
  <r>
    <s v="AloGardening Betel Leaf Plant  (Hybrid, Pack of 1)"/>
    <n v="399"/>
    <n v="185"/>
    <n v="0.53"/>
    <x v="1"/>
    <x v="0"/>
    <x v="3"/>
    <x v="2"/>
    <x v="1"/>
    <x v="0"/>
    <x v="0"/>
    <x v="1"/>
    <x v="8"/>
  </r>
  <r>
    <s v="Samarthgreens Pomegranate Plant  (Hybrid, Pack of 1)"/>
    <n v="599"/>
    <n v="126"/>
    <n v="0.78"/>
    <x v="1"/>
    <x v="0"/>
    <x v="1"/>
    <x v="1"/>
    <x v="0"/>
    <x v="1"/>
    <x v="0"/>
    <x v="1"/>
    <x v="59"/>
  </r>
  <r>
    <s v="PEDPOUDHE Calathea Plant  (Hybrid, Pack of 1)"/>
    <n v="1000"/>
    <n v="167"/>
    <n v="0.83"/>
    <x v="1"/>
    <x v="0"/>
    <x v="0"/>
    <x v="0"/>
    <x v="0"/>
    <x v="0"/>
    <x v="0"/>
    <x v="1"/>
    <x v="60"/>
  </r>
  <r>
    <s v="GreenHorizon Aloe Vera Plant  (Hybrid, Pack of 1)"/>
    <n v="499"/>
    <n v="135"/>
    <n v="0.68"/>
    <x v="1"/>
    <x v="0"/>
    <x v="3"/>
    <x v="1"/>
    <x v="1"/>
    <x v="1"/>
    <x v="14"/>
    <x v="1"/>
    <x v="19"/>
  </r>
  <r>
    <s v="Cloud Farm Adenium Plant  (Hybrid, Pack of 6)"/>
    <n v="999"/>
    <n v="299"/>
    <n v="0.7"/>
    <x v="1"/>
    <x v="0"/>
    <x v="2"/>
    <x v="0"/>
    <x v="1"/>
    <x v="1"/>
    <x v="0"/>
    <x v="1"/>
    <x v="6"/>
  </r>
  <r>
    <s v="MAITRA AND SONS Jade Plant  (Hybrid, Pack of 1)"/>
    <n v="299"/>
    <n v="125"/>
    <n v="0.57999999999999996"/>
    <x v="0"/>
    <x v="0"/>
    <x v="0"/>
    <x v="0"/>
    <x v="1"/>
    <x v="0"/>
    <x v="0"/>
    <x v="1"/>
    <x v="31"/>
  </r>
  <r>
    <s v="E-GARDEN RED ROSE PLANT  (Pack of 1)"/>
    <n v="499"/>
    <n v="145"/>
    <n v="0.7"/>
    <x v="1"/>
    <x v="0"/>
    <x v="2"/>
    <x v="0"/>
    <x v="0"/>
    <x v="0"/>
    <x v="0"/>
    <x v="0"/>
    <x v="61"/>
  </r>
  <r>
    <s v="AquinnahGaden Areca Palm  (Hybrid, Pack of 1)"/>
    <n v="492"/>
    <n v="152"/>
    <n v="0.69"/>
    <x v="0"/>
    <x v="0"/>
    <x v="3"/>
    <x v="1"/>
    <x v="1"/>
    <x v="1"/>
    <x v="0"/>
    <x v="1"/>
    <x v="30"/>
  </r>
  <r>
    <s v="Zomoloco Ber Apple Plant  (Hybrid, Pack of 1)"/>
    <n v="399"/>
    <n v="130"/>
    <n v="0.67"/>
    <x v="1"/>
    <x v="0"/>
    <x v="1"/>
    <x v="0"/>
    <x v="1"/>
    <x v="0"/>
    <x v="0"/>
    <x v="1"/>
    <x v="62"/>
  </r>
  <r>
    <s v="ARYAN EVERGREEN Lily Plant  (Hybrid, Pack of 1)"/>
    <n v="599"/>
    <n v="130"/>
    <n v="0.78"/>
    <x v="1"/>
    <x v="0"/>
    <x v="2"/>
    <x v="0"/>
    <x v="1"/>
    <x v="1"/>
    <x v="13"/>
    <x v="1"/>
    <x v="47"/>
  </r>
  <r>
    <s v="greenhousestore Banana Plant  (Hybrid, Pack of 1)"/>
    <n v="499"/>
    <n v="135"/>
    <n v="0.68"/>
    <x v="1"/>
    <x v="0"/>
    <x v="1"/>
    <x v="0"/>
    <x v="1"/>
    <x v="1"/>
    <x v="14"/>
    <x v="1"/>
    <x v="1"/>
  </r>
  <r>
    <s v="GaiaStore Orchid Plant  (Hybrid, Pack of 5)"/>
    <n v="899"/>
    <n v="146"/>
    <n v="0.83"/>
    <x v="1"/>
    <x v="0"/>
    <x v="2"/>
    <x v="2"/>
    <x v="0"/>
    <x v="1"/>
    <x v="0"/>
    <x v="1"/>
    <x v="63"/>
  </r>
  <r>
    <s v="Gabbro Jade Plant  (Hybrid, Pack of 1)"/>
    <n v="499"/>
    <n v="199"/>
    <n v="0.6"/>
    <x v="0"/>
    <x v="0"/>
    <x v="5"/>
    <x v="0"/>
    <x v="1"/>
    <x v="1"/>
    <x v="15"/>
    <x v="1"/>
    <x v="21"/>
  </r>
  <r>
    <s v="Rm live plant ZZ Plant  (Hybrid, Pack of 1)"/>
    <n v="499"/>
    <n v="169"/>
    <n v="0.66"/>
    <x v="1"/>
    <x v="0"/>
    <x v="7"/>
    <x v="1"/>
    <x v="0"/>
    <x v="0"/>
    <x v="0"/>
    <x v="1"/>
    <x v="64"/>
  </r>
  <r>
    <s v="Vijay Sales Spider Plant  (Hybrid, Pack of 1)"/>
    <n v="498"/>
    <n v="128"/>
    <n v="0.74"/>
    <x v="1"/>
    <x v="0"/>
    <x v="0"/>
    <x v="1"/>
    <x v="0"/>
    <x v="0"/>
    <x v="0"/>
    <x v="1"/>
    <x v="65"/>
  </r>
  <r>
    <s v="greenhousestore Coconut Plant  (Hybrid, Pack of 1)"/>
    <n v="599"/>
    <n v="169"/>
    <n v="0.71"/>
    <x v="1"/>
    <x v="0"/>
    <x v="1"/>
    <x v="1"/>
    <x v="1"/>
    <x v="1"/>
    <x v="0"/>
    <x v="1"/>
    <x v="1"/>
  </r>
  <r>
    <s v="greenhousestore Rose Plant  (Hybrid, Pack of 1)"/>
    <n v="499"/>
    <n v="120"/>
    <n v="0.75"/>
    <x v="1"/>
    <x v="0"/>
    <x v="2"/>
    <x v="1"/>
    <x v="1"/>
    <x v="1"/>
    <x v="0"/>
    <x v="1"/>
    <x v="1"/>
  </r>
  <r>
    <s v="Tha live root Laxmi kamal Laxmi Kamal Plant  (Hybrid, Pack of 1)"/>
    <n v="500"/>
    <n v="199"/>
    <n v="0.6"/>
    <x v="1"/>
    <x v="0"/>
    <x v="5"/>
    <x v="1"/>
    <x v="1"/>
    <x v="1"/>
    <x v="0"/>
    <x v="1"/>
    <x v="66"/>
  </r>
  <r>
    <s v="AquinnahGaden Insulin Plant  (Hybrid, Pack of 1)"/>
    <n v="489"/>
    <n v="123"/>
    <n v="0.74"/>
    <x v="0"/>
    <x v="0"/>
    <x v="3"/>
    <x v="1"/>
    <x v="1"/>
    <x v="1"/>
    <x v="0"/>
    <x v="1"/>
    <x v="30"/>
  </r>
  <r>
    <s v="sealok Euphorbia Plant  (Hybrid, Pack of 1)"/>
    <n v="399"/>
    <n v="127"/>
    <n v="0.68"/>
    <x v="1"/>
    <x v="0"/>
    <x v="2"/>
    <x v="1"/>
    <x v="1"/>
    <x v="0"/>
    <x v="0"/>
    <x v="1"/>
    <x v="67"/>
  </r>
  <r>
    <s v="ABEFARIYA Begonia Vanusta Plant  (Hybrid, Pack of 1)"/>
    <n v="1200"/>
    <n v="140"/>
    <n v="0.88"/>
    <x v="1"/>
    <x v="0"/>
    <x v="2"/>
    <x v="0"/>
    <x v="1"/>
    <x v="1"/>
    <x v="0"/>
    <x v="1"/>
    <x v="68"/>
  </r>
  <r>
    <s v="FURYHUB Money Plant  (Hybrid, Pack of 1)"/>
    <n v="499"/>
    <n v="130"/>
    <n v="0.73"/>
    <x v="1"/>
    <x v="0"/>
    <x v="5"/>
    <x v="1"/>
    <x v="1"/>
    <x v="0"/>
    <x v="0"/>
    <x v="1"/>
    <x v="3"/>
  </r>
  <r>
    <s v="AloGardening Adenium Plant  (Hybrid, Pack of 9)"/>
    <n v="1099"/>
    <n v="483"/>
    <n v="0.56000000000000005"/>
    <x v="1"/>
    <x v="0"/>
    <x v="2"/>
    <x v="0"/>
    <x v="1"/>
    <x v="0"/>
    <x v="0"/>
    <x v="1"/>
    <x v="8"/>
  </r>
  <r>
    <s v="MAITRA AND SONS Rosemary Plant  (Hybrid, Pack of 1)"/>
    <n v="299"/>
    <n v="180"/>
    <n v="0.39"/>
    <x v="0"/>
    <x v="0"/>
    <x v="3"/>
    <x v="0"/>
    <x v="1"/>
    <x v="0"/>
    <x v="0"/>
    <x v="1"/>
    <x v="31"/>
  </r>
  <r>
    <s v="KUMUBON Madhu Kamini Plant  (Hybrid, Pack of 1)"/>
    <n v="299"/>
    <n v="250"/>
    <n v="0.16"/>
    <x v="1"/>
    <x v="0"/>
    <x v="2"/>
    <x v="0"/>
    <x v="1"/>
    <x v="1"/>
    <x v="0"/>
    <x v="1"/>
    <x v="55"/>
  </r>
  <r>
    <s v="Cloud Farm Papaya Plant  (Hybrid, Pack of 1)"/>
    <n v="499"/>
    <n v="136"/>
    <n v="0.72"/>
    <x v="0"/>
    <x v="0"/>
    <x v="1"/>
    <x v="0"/>
    <x v="1"/>
    <x v="0"/>
    <x v="0"/>
    <x v="1"/>
    <x v="6"/>
  </r>
  <r>
    <s v="LaughEarth Shami/Jand Plant  (Pack of 1)"/>
    <n v="399"/>
    <n v="170"/>
    <n v="0.56999999999999995"/>
    <x v="1"/>
    <x v="0"/>
    <x v="5"/>
    <x v="0"/>
    <x v="1"/>
    <x v="0"/>
    <x v="0"/>
    <x v="0"/>
    <x v="12"/>
  </r>
  <r>
    <s v="Marinetree Bougainvillea Plant  (Hybrid, Pack of 1)"/>
    <n v="249"/>
    <n v="125"/>
    <n v="0.49"/>
    <x v="1"/>
    <x v="0"/>
    <x v="2"/>
    <x v="0"/>
    <x v="1"/>
    <x v="1"/>
    <x v="14"/>
    <x v="1"/>
    <x v="69"/>
  </r>
  <r>
    <s v="Cloud Farm Chiku Plant  (Hybrid, Pack of 1)"/>
    <n v="499"/>
    <n v="115"/>
    <n v="0.76"/>
    <x v="1"/>
    <x v="0"/>
    <x v="1"/>
    <x v="0"/>
    <x v="1"/>
    <x v="0"/>
    <x v="0"/>
    <x v="1"/>
    <x v="6"/>
  </r>
  <r>
    <s v="K,M.GREEN Tamarind Plant  (Hybrid, Pack of 1)"/>
    <n v="399"/>
    <n v="127"/>
    <n v="0.68"/>
    <x v="0"/>
    <x v="0"/>
    <x v="1"/>
    <x v="1"/>
    <x v="1"/>
    <x v="1"/>
    <x v="0"/>
    <x v="1"/>
    <x v="70"/>
  </r>
  <r>
    <s v="Cloud Farm Almond Plant  (Hybrid, Pack of 1)"/>
    <n v="299"/>
    <n v="130"/>
    <n v="0.56000000000000005"/>
    <x v="0"/>
    <x v="0"/>
    <x v="1"/>
    <x v="1"/>
    <x v="1"/>
    <x v="0"/>
    <x v="0"/>
    <x v="1"/>
    <x v="6"/>
  </r>
  <r>
    <s v="ADA China Palm Plant  (Hybrid, Pack of 1)"/>
    <n v="499"/>
    <n v="129"/>
    <n v="0.74"/>
    <x v="0"/>
    <x v="0"/>
    <x v="7"/>
    <x v="0"/>
    <x v="1"/>
    <x v="0"/>
    <x v="0"/>
    <x v="1"/>
    <x v="71"/>
  </r>
  <r>
    <s v="Samarthgreens Ficus Plant  (Hybrid, Pack of 1)"/>
    <n v="599"/>
    <n v="140"/>
    <n v="0.76"/>
    <x v="0"/>
    <x v="0"/>
    <x v="7"/>
    <x v="0"/>
    <x v="1"/>
    <x v="1"/>
    <x v="0"/>
    <x v="1"/>
    <x v="59"/>
  </r>
  <r>
    <s v="Ukanda ZZ Plant  (Hybrid, Pack of 1)"/>
    <n v="399"/>
    <n v="165"/>
    <n v="0.57999999999999996"/>
    <x v="1"/>
    <x v="0"/>
    <x v="8"/>
    <x v="0"/>
    <x v="0"/>
    <x v="1"/>
    <x v="1"/>
    <x v="1"/>
    <x v="17"/>
  </r>
  <r>
    <s v="FSK Coconut Plant  (Hybrid, Pack of 1)"/>
    <n v="499"/>
    <n v="196"/>
    <n v="0.6"/>
    <x v="1"/>
    <x v="0"/>
    <x v="1"/>
    <x v="0"/>
    <x v="1"/>
    <x v="0"/>
    <x v="0"/>
    <x v="1"/>
    <x v="7"/>
  </r>
  <r>
    <s v="greenhousestore Lemon Plant  (Hybrid, Pack of 1)"/>
    <n v="599"/>
    <n v="120"/>
    <n v="0.79"/>
    <x v="1"/>
    <x v="0"/>
    <x v="1"/>
    <x v="1"/>
    <x v="1"/>
    <x v="1"/>
    <x v="0"/>
    <x v="1"/>
    <x v="1"/>
  </r>
  <r>
    <s v="Aquinnah Banana Plant  (Hybrid, Pack of 1)"/>
    <n v="499"/>
    <n v="138"/>
    <n v="0.72"/>
    <x v="1"/>
    <x v="0"/>
    <x v="1"/>
    <x v="1"/>
    <x v="1"/>
    <x v="1"/>
    <x v="0"/>
    <x v="1"/>
    <x v="72"/>
  </r>
  <r>
    <s v="greenhousestore Mango Plant  (Hybrid, Pack of 1)"/>
    <n v="599"/>
    <n v="160"/>
    <n v="0.73"/>
    <x v="1"/>
    <x v="0"/>
    <x v="1"/>
    <x v="1"/>
    <x v="1"/>
    <x v="1"/>
    <x v="0"/>
    <x v="1"/>
    <x v="1"/>
  </r>
  <r>
    <s v="greenhousestore Black Pepper Plant  (Hybrid, Pack of 1)"/>
    <n v="499"/>
    <n v="125"/>
    <n v="0.74"/>
    <x v="1"/>
    <x v="0"/>
    <x v="1"/>
    <x v="1"/>
    <x v="1"/>
    <x v="0"/>
    <x v="0"/>
    <x v="1"/>
    <x v="1"/>
  </r>
  <r>
    <s v="Cloud Farm Kiwi Plant  (Hybrid, Pack of 1)"/>
    <n v="499"/>
    <n v="125"/>
    <n v="0.74"/>
    <x v="1"/>
    <x v="0"/>
    <x v="1"/>
    <x v="1"/>
    <x v="1"/>
    <x v="1"/>
    <x v="0"/>
    <x v="1"/>
    <x v="6"/>
  </r>
  <r>
    <s v="greenhousestore Amla Plant  (Hybrid, Pack of 1)"/>
    <n v="499"/>
    <n v="122"/>
    <n v="0.75"/>
    <x v="1"/>
    <x v="0"/>
    <x v="1"/>
    <x v="1"/>
    <x v="1"/>
    <x v="1"/>
    <x v="0"/>
    <x v="1"/>
    <x v="1"/>
  </r>
  <r>
    <s v="GHF Two Layer Bamboo Plant  (Hybrid, Pack of 1)"/>
    <n v="799"/>
    <n v="173"/>
    <n v="0.78"/>
    <x v="1"/>
    <x v="0"/>
    <x v="6"/>
    <x v="1"/>
    <x v="0"/>
    <x v="1"/>
    <x v="16"/>
    <x v="1"/>
    <x v="34"/>
  </r>
  <r>
    <s v="AquinnahGaden Litchi Plant  (Hybrid, Pack of 1)"/>
    <n v="489"/>
    <n v="123"/>
    <n v="0.74"/>
    <x v="0"/>
    <x v="0"/>
    <x v="1"/>
    <x v="1"/>
    <x v="1"/>
    <x v="1"/>
    <x v="0"/>
    <x v="1"/>
    <x v="30"/>
  </r>
  <r>
    <s v="greenhousestore Shami/Jand Plant  (Hybrid, Pack of 1)"/>
    <n v="598"/>
    <n v="121"/>
    <n v="0.79"/>
    <x v="1"/>
    <x v="0"/>
    <x v="3"/>
    <x v="1"/>
    <x v="1"/>
    <x v="1"/>
    <x v="0"/>
    <x v="1"/>
    <x v="1"/>
  </r>
  <r>
    <s v="AGAMI Two Layer Bamboo Plant  (Pack of 1)"/>
    <n v="849"/>
    <n v="294"/>
    <n v="0.65"/>
    <x v="1"/>
    <x v="0"/>
    <x v="6"/>
    <x v="1"/>
    <x v="0"/>
    <x v="1"/>
    <x v="0"/>
    <x v="0"/>
    <x v="73"/>
  </r>
  <r>
    <s v="PETALFLEUR Adenium Plant  (Hybrid, Pack of 2)"/>
    <n v="399"/>
    <n v="160"/>
    <n v="0.59"/>
    <x v="1"/>
    <x v="0"/>
    <x v="7"/>
    <x v="0"/>
    <x v="1"/>
    <x v="1"/>
    <x v="0"/>
    <x v="1"/>
    <x v="24"/>
  </r>
  <r>
    <s v="Cloud Farm Adenium Plant  (Hybrid, Pack of 1)"/>
    <n v="499"/>
    <n v="135"/>
    <n v="0.72"/>
    <x v="1"/>
    <x v="0"/>
    <x v="7"/>
    <x v="0"/>
    <x v="0"/>
    <x v="1"/>
    <x v="0"/>
    <x v="1"/>
    <x v="6"/>
  </r>
  <r>
    <s v="EliteGreen Betel Nut/Supari Plant  (Hybrid, Pack of 1)"/>
    <n v="299"/>
    <n v="183"/>
    <n v="0.38"/>
    <x v="0"/>
    <x v="0"/>
    <x v="1"/>
    <x v="0"/>
    <x v="1"/>
    <x v="0"/>
    <x v="1"/>
    <x v="1"/>
    <x v="74"/>
  </r>
  <r>
    <s v="Nature House Snake Plant  (Pack of 1)"/>
    <n v="349"/>
    <n v="182"/>
    <n v="0.47"/>
    <x v="1"/>
    <x v="0"/>
    <x v="0"/>
    <x v="0"/>
    <x v="1"/>
    <x v="0"/>
    <x v="0"/>
    <x v="0"/>
    <x v="75"/>
  </r>
  <r>
    <s v="greenhousestore Christmas Tree Plant  (Hybrid, Pack of 1)"/>
    <n v="599"/>
    <n v="126"/>
    <n v="0.78"/>
    <x v="1"/>
    <x v="0"/>
    <x v="0"/>
    <x v="1"/>
    <x v="1"/>
    <x v="1"/>
    <x v="0"/>
    <x v="1"/>
    <x v="1"/>
  </r>
  <r>
    <s v="Ukanda Hibiscus Plant  (Hybrid, Pack of 1)"/>
    <n v="399"/>
    <n v="123"/>
    <n v="0.69"/>
    <x v="1"/>
    <x v="0"/>
    <x v="2"/>
    <x v="0"/>
    <x v="1"/>
    <x v="1"/>
    <x v="1"/>
    <x v="1"/>
    <x v="17"/>
  </r>
  <r>
    <s v="NATURE WISE YOU Spider Plant  (Hybrid, Pack of 1)"/>
    <n v="298"/>
    <n v="127"/>
    <n v="0.56999999999999995"/>
    <x v="1"/>
    <x v="0"/>
    <x v="3"/>
    <x v="1"/>
    <x v="1"/>
    <x v="1"/>
    <x v="9"/>
    <x v="1"/>
    <x v="76"/>
  </r>
  <r>
    <s v="KUMUBON Amla Plant  (Hybrid, Pack of 1)"/>
    <n v="280"/>
    <n v="155"/>
    <n v="0.44"/>
    <x v="1"/>
    <x v="0"/>
    <x v="1"/>
    <x v="0"/>
    <x v="1"/>
    <x v="1"/>
    <x v="0"/>
    <x v="1"/>
    <x v="55"/>
  </r>
  <r>
    <s v="GreenHorizon Elaichi/Cardamom Plant  (Hybrid, Pack of 1)"/>
    <n v="305"/>
    <n v="119"/>
    <n v="0.6"/>
    <x v="1"/>
    <x v="0"/>
    <x v="3"/>
    <x v="2"/>
    <x v="1"/>
    <x v="1"/>
    <x v="0"/>
    <x v="1"/>
    <x v="19"/>
  </r>
  <r>
    <s v="Heaven Of Saplings Gummy Gardenia Plant  (Hybrid, Pack of 1)"/>
    <n v="399"/>
    <n v="158"/>
    <n v="0.6"/>
    <x v="0"/>
    <x v="0"/>
    <x v="2"/>
    <x v="0"/>
    <x v="1"/>
    <x v="1"/>
    <x v="0"/>
    <x v="1"/>
    <x v="77"/>
  </r>
  <r>
    <s v="PEEPALSFARM Betel Leaf Plant  (Hybrid, Pack of 1)"/>
    <n v="247"/>
    <n v="119"/>
    <n v="0.51"/>
    <x v="1"/>
    <x v="0"/>
    <x v="3"/>
    <x v="0"/>
    <x v="1"/>
    <x v="1"/>
    <x v="0"/>
    <x v="1"/>
    <x v="78"/>
  </r>
  <r>
    <s v="AloGardening ZZ Plant  (Hybrid, Pack of 1)"/>
    <n v="450"/>
    <n v="131"/>
    <n v="0.7"/>
    <x v="1"/>
    <x v="0"/>
    <x v="1"/>
    <x v="0"/>
    <x v="1"/>
    <x v="0"/>
    <x v="0"/>
    <x v="1"/>
    <x v="8"/>
  </r>
  <r>
    <s v="greenhousestore Curry Leaf Plant  (Hybrid, Pack of 1)"/>
    <n v="439"/>
    <n v="119"/>
    <n v="0.72"/>
    <x v="1"/>
    <x v="0"/>
    <x v="3"/>
    <x v="0"/>
    <x v="1"/>
    <x v="1"/>
    <x v="14"/>
    <x v="1"/>
    <x v="1"/>
  </r>
  <r>
    <s v="greenhousestore Walnut Plant  (Hybrid, Pack of 1)"/>
    <n v="599"/>
    <n v="126"/>
    <n v="0.78"/>
    <x v="1"/>
    <x v="0"/>
    <x v="1"/>
    <x v="1"/>
    <x v="1"/>
    <x v="1"/>
    <x v="0"/>
    <x v="1"/>
    <x v="1"/>
  </r>
  <r>
    <s v="EVY Tea Plant  (Hybrid, Pack of 1)"/>
    <n v="399"/>
    <n v="126"/>
    <n v="0.68"/>
    <x v="1"/>
    <x v="0"/>
    <x v="1"/>
    <x v="1"/>
    <x v="1"/>
    <x v="0"/>
    <x v="0"/>
    <x v="1"/>
    <x v="18"/>
  </r>
  <r>
    <s v="Global Mart Plant Blackberry Lily Plant  (Hybrid, Pack of 1)"/>
    <n v="298"/>
    <n v="123"/>
    <n v="0.57999999999999996"/>
    <x v="1"/>
    <x v="0"/>
    <x v="1"/>
    <x v="1"/>
    <x v="1"/>
    <x v="1"/>
    <x v="0"/>
    <x v="1"/>
    <x v="4"/>
  </r>
  <r>
    <s v="Durga Green Garden Golden Champa Plant  (Hybrid, Pack of 1)"/>
    <n v="499"/>
    <n v="126"/>
    <n v="0.74"/>
    <x v="1"/>
    <x v="0"/>
    <x v="2"/>
    <x v="1"/>
    <x v="1"/>
    <x v="0"/>
    <x v="14"/>
    <x v="1"/>
    <x v="79"/>
  </r>
  <r>
    <s v="Grinian Bougainvillea Plant  (Hybrid, Pack of 1)"/>
    <n v="499"/>
    <n v="123"/>
    <n v="0.75"/>
    <x v="1"/>
    <x v="0"/>
    <x v="2"/>
    <x v="1"/>
    <x v="1"/>
    <x v="0"/>
    <x v="0"/>
    <x v="1"/>
    <x v="33"/>
  </r>
  <r>
    <s v="EVY Lily Plant  (Hybrid, Pack of 1)"/>
    <n v="389"/>
    <n v="161"/>
    <n v="0.57999999999999996"/>
    <x v="0"/>
    <x v="0"/>
    <x v="2"/>
    <x v="1"/>
    <x v="1"/>
    <x v="0"/>
    <x v="17"/>
    <x v="1"/>
    <x v="18"/>
  </r>
  <r>
    <s v="UGAOO Variegated Money Plant  (Pack of 1)"/>
    <n v="445"/>
    <n v="299"/>
    <n v="0.32"/>
    <x v="1"/>
    <x v="0"/>
    <x v="8"/>
    <x v="2"/>
    <x v="0"/>
    <x v="0"/>
    <x v="0"/>
    <x v="0"/>
    <x v="11"/>
  </r>
  <r>
    <s v="minatigreenhouse Walnut Plant  (Hybrid, Pack of 1)"/>
    <n v="399"/>
    <n v="137"/>
    <n v="0.65"/>
    <x v="0"/>
    <x v="0"/>
    <x v="1"/>
    <x v="0"/>
    <x v="1"/>
    <x v="1"/>
    <x v="0"/>
    <x v="1"/>
    <x v="80"/>
  </r>
  <r>
    <s v="Cloud Farm Grapes Plant  (Hybrid, Pack of 1)"/>
    <n v="499"/>
    <n v="122"/>
    <n v="0.75"/>
    <x v="1"/>
    <x v="0"/>
    <x v="1"/>
    <x v="0"/>
    <x v="1"/>
    <x v="1"/>
    <x v="0"/>
    <x v="1"/>
    <x v="6"/>
  </r>
  <r>
    <s v="greenhousestore Elaichi/Cardamom Plant  (Hybrid, Pack of 1)"/>
    <n v="599"/>
    <n v="125"/>
    <n v="0.79"/>
    <x v="1"/>
    <x v="0"/>
    <x v="3"/>
    <x v="1"/>
    <x v="1"/>
    <x v="1"/>
    <x v="0"/>
    <x v="1"/>
    <x v="1"/>
  </r>
  <r>
    <s v="Cloud Farm Ber Apple Plant  (Hybrid, Pack of 1)"/>
    <n v="499"/>
    <n v="129"/>
    <n v="0.74"/>
    <x v="0"/>
    <x v="0"/>
    <x v="1"/>
    <x v="0"/>
    <x v="1"/>
    <x v="0"/>
    <x v="0"/>
    <x v="1"/>
    <x v="6"/>
  </r>
  <r>
    <s v="greenhousestore Banana Plant  (Hybrid, Pack of 1)"/>
    <n v="499"/>
    <n v="119"/>
    <n v="0.76"/>
    <x v="0"/>
    <x v="0"/>
    <x v="1"/>
    <x v="1"/>
    <x v="1"/>
    <x v="1"/>
    <x v="0"/>
    <x v="1"/>
    <x v="1"/>
  </r>
  <r>
    <s v="Gabbro Two Layer Bamboo Plant, Jade Plant  (Hybrid, Pack of 2)"/>
    <n v="800"/>
    <n v="390"/>
    <n v="0.51"/>
    <x v="1"/>
    <x v="0"/>
    <x v="6"/>
    <x v="0"/>
    <x v="1"/>
    <x v="1"/>
    <x v="8"/>
    <x v="1"/>
    <x v="21"/>
  </r>
  <r>
    <s v="Click to buy Peace Lily Plant  (Hybrid, Pack of 1)"/>
    <n v="251"/>
    <n v="118"/>
    <n v="0.52"/>
    <x v="1"/>
    <x v="0"/>
    <x v="2"/>
    <x v="0"/>
    <x v="1"/>
    <x v="0"/>
    <x v="0"/>
    <x v="1"/>
    <x v="52"/>
  </r>
  <r>
    <s v="LivePlant Calathea Plant  (Pack of 1)"/>
    <n v="499"/>
    <n v="210"/>
    <n v="0.56999999999999995"/>
    <x v="0"/>
    <x v="0"/>
    <x v="5"/>
    <x v="1"/>
    <x v="1"/>
    <x v="0"/>
    <x v="7"/>
    <x v="0"/>
    <x v="81"/>
  </r>
  <r>
    <s v="Aquinnah Rose Plant  (Hybrid, Pack of 1)"/>
    <n v="425"/>
    <n v="122"/>
    <n v="0.71"/>
    <x v="1"/>
    <x v="0"/>
    <x v="2"/>
    <x v="1"/>
    <x v="1"/>
    <x v="1"/>
    <x v="6"/>
    <x v="1"/>
    <x v="72"/>
  </r>
  <r>
    <s v="Samarthgreens Red Sandalwood Plant  (Pack of 1)"/>
    <n v="399"/>
    <n v="142"/>
    <n v="0.64"/>
    <x v="1"/>
    <x v="0"/>
    <x v="8"/>
    <x v="1"/>
    <x v="1"/>
    <x v="0"/>
    <x v="0"/>
    <x v="0"/>
    <x v="59"/>
  </r>
  <r>
    <s v="Linaa Rubber Tree  (Hybrid, Pack of 1)"/>
    <n v="849"/>
    <n v="145"/>
    <n v="0.82"/>
    <x v="1"/>
    <x v="0"/>
    <x v="0"/>
    <x v="1"/>
    <x v="1"/>
    <x v="1"/>
    <x v="0"/>
    <x v="1"/>
    <x v="29"/>
  </r>
  <r>
    <s v="Oxygreenplant Phoneix Palm Plant  (Hybrid, Pack of 1)"/>
    <n v="384"/>
    <n v="140"/>
    <n v="0.63"/>
    <x v="1"/>
    <x v="0"/>
    <x v="7"/>
    <x v="0"/>
    <x v="0"/>
    <x v="0"/>
    <x v="0"/>
    <x v="1"/>
    <x v="82"/>
  </r>
  <r>
    <s v="JD DAS AND SONS PLANTS Gerbera Plant  (Hybrid, Pack of 1)"/>
    <n v="599"/>
    <n v="129"/>
    <n v="0.78"/>
    <x v="1"/>
    <x v="0"/>
    <x v="2"/>
    <x v="0"/>
    <x v="1"/>
    <x v="1"/>
    <x v="0"/>
    <x v="1"/>
    <x v="83"/>
  </r>
  <r>
    <s v="Cloud Farm Golden Champa Plant  (Hybrid, Pack of 1)"/>
    <n v="299"/>
    <n v="126"/>
    <n v="0.56999999999999995"/>
    <x v="1"/>
    <x v="0"/>
    <x v="2"/>
    <x v="0"/>
    <x v="1"/>
    <x v="0"/>
    <x v="0"/>
    <x v="1"/>
    <x v="6"/>
  </r>
  <r>
    <s v="LaughEarth Ficus Bonsai  (Hybrid, Pack of 1)"/>
    <n v="499"/>
    <n v="126"/>
    <n v="0.74"/>
    <x v="1"/>
    <x v="0"/>
    <x v="7"/>
    <x v="0"/>
    <x v="1"/>
    <x v="1"/>
    <x v="0"/>
    <x v="1"/>
    <x v="12"/>
  </r>
  <r>
    <s v="ABEFARIYA Mogra Flowering Plant, Jasmine Plant  (Hybrid, Pack of 1)"/>
    <n v="1200"/>
    <n v="133"/>
    <n v="0.88"/>
    <x v="1"/>
    <x v="0"/>
    <x v="2"/>
    <x v="0"/>
    <x v="1"/>
    <x v="1"/>
    <x v="0"/>
    <x v="1"/>
    <x v="68"/>
  </r>
  <r>
    <s v="greenhousestore Hibiscus Plant  (Hybrid, Pack of 1)"/>
    <n v="599"/>
    <n v="125"/>
    <n v="0.79"/>
    <x v="1"/>
    <x v="0"/>
    <x v="2"/>
    <x v="1"/>
    <x v="1"/>
    <x v="1"/>
    <x v="0"/>
    <x v="1"/>
    <x v="1"/>
  </r>
  <r>
    <s v="JASSI FLORA Three Layer Bamboo Plant  (Hybrid, Pack of 1)"/>
    <n v="799"/>
    <n v="174"/>
    <n v="0.78"/>
    <x v="0"/>
    <x v="0"/>
    <x v="6"/>
    <x v="2"/>
    <x v="0"/>
    <x v="1"/>
    <x v="13"/>
    <x v="1"/>
    <x v="84"/>
  </r>
  <r>
    <s v="Oxygreenplant Elaichi/Cardamom Plant  (Hybrid, Pack of 1)"/>
    <n v="299"/>
    <n v="135"/>
    <n v="0.54"/>
    <x v="1"/>
    <x v="0"/>
    <x v="3"/>
    <x v="0"/>
    <x v="1"/>
    <x v="0"/>
    <x v="0"/>
    <x v="1"/>
    <x v="82"/>
  </r>
  <r>
    <s v="UGAOO Brazilian Wood  (Pack of 1)"/>
    <n v="1999"/>
    <n v="599"/>
    <n v="0.7"/>
    <x v="1"/>
    <x v="0"/>
    <x v="6"/>
    <x v="1"/>
    <x v="0"/>
    <x v="1"/>
    <x v="0"/>
    <x v="0"/>
    <x v="11"/>
  </r>
  <r>
    <s v="Farmplants Kalanchoe Plant  (Hybrid, Pack of 1)"/>
    <n v="449"/>
    <n v="145"/>
    <n v="0.67"/>
    <x v="1"/>
    <x v="0"/>
    <x v="2"/>
    <x v="1"/>
    <x v="0"/>
    <x v="0"/>
    <x v="0"/>
    <x v="1"/>
    <x v="85"/>
  </r>
  <r>
    <s v="EVY Kiwi Plant  (Hybrid, Pack of 1)"/>
    <n v="499"/>
    <n v="139"/>
    <n v="0.72"/>
    <x v="1"/>
    <x v="0"/>
    <x v="1"/>
    <x v="1"/>
    <x v="1"/>
    <x v="0"/>
    <x v="0"/>
    <x v="1"/>
    <x v="18"/>
  </r>
  <r>
    <s v="varnicrea Mini Brazalian wood  (Pack of 1)"/>
    <n v="1200"/>
    <n v="125"/>
    <n v="0.89"/>
    <x v="1"/>
    <x v="0"/>
    <x v="6"/>
    <x v="1"/>
    <x v="0"/>
    <x v="1"/>
    <x v="13"/>
    <x v="0"/>
    <x v="86"/>
  </r>
  <r>
    <s v="Wavingleaf Jade Plant  (Pack of 1)"/>
    <n v="295"/>
    <n v="127"/>
    <n v="0.56000000000000005"/>
    <x v="1"/>
    <x v="0"/>
    <x v="5"/>
    <x v="1"/>
    <x v="0"/>
    <x v="1"/>
    <x v="0"/>
    <x v="0"/>
    <x v="87"/>
  </r>
  <r>
    <s v="The Four Seasons Tillandsia Fuchsii Rare Air Plant  (Pack of 1)"/>
    <n v="550"/>
    <n v="275"/>
    <n v="0.5"/>
    <x v="0"/>
    <x v="0"/>
    <x v="5"/>
    <x v="0"/>
    <x v="1"/>
    <x v="1"/>
    <x v="0"/>
    <x v="0"/>
    <x v="88"/>
  </r>
  <r>
    <s v="rimardmistu Strawberry Plant  (Hybrid, Pack of 1)"/>
    <n v="399"/>
    <n v="126"/>
    <n v="0.68"/>
    <x v="0"/>
    <x v="0"/>
    <x v="1"/>
    <x v="0"/>
    <x v="1"/>
    <x v="1"/>
    <x v="0"/>
    <x v="1"/>
    <x v="37"/>
  </r>
  <r>
    <s v="greenhousestore Mango Plant  (Hybrid, Pack of 1)"/>
    <n v="599"/>
    <n v="128"/>
    <n v="0.78"/>
    <x v="1"/>
    <x v="0"/>
    <x v="1"/>
    <x v="1"/>
    <x v="1"/>
    <x v="1"/>
    <x v="0"/>
    <x v="1"/>
    <x v="1"/>
  </r>
  <r>
    <s v="RADHE SALES Mini Brazalian wood  (Pack of 1)"/>
    <n v="1399"/>
    <n v="129"/>
    <n v="0.9"/>
    <x v="1"/>
    <x v="0"/>
    <x v="6"/>
    <x v="1"/>
    <x v="0"/>
    <x v="1"/>
    <x v="13"/>
    <x v="0"/>
    <x v="89"/>
  </r>
  <r>
    <s v="Growerstore Madhu Kamini Plant  (Hybrid, Pack of 1)"/>
    <n v="399"/>
    <n v="127"/>
    <n v="0.68"/>
    <x v="0"/>
    <x v="0"/>
    <x v="4"/>
    <x v="1"/>
    <x v="1"/>
    <x v="0"/>
    <x v="7"/>
    <x v="1"/>
    <x v="90"/>
  </r>
  <r>
    <s v="PB honey priya plant Grapes Plant  (Hybrid, Pack of 1)"/>
    <n v="499"/>
    <n v="128"/>
    <n v="0.74"/>
    <x v="1"/>
    <x v="0"/>
    <x v="1"/>
    <x v="0"/>
    <x v="1"/>
    <x v="1"/>
    <x v="0"/>
    <x v="1"/>
    <x v="39"/>
  </r>
  <r>
    <s v="My Dream Nursery Two Layer Bamboo Plant  (Hybrid, Pack of 1)"/>
    <n v="349"/>
    <n v="163"/>
    <n v="0.53"/>
    <x v="1"/>
    <x v="0"/>
    <x v="6"/>
    <x v="1"/>
    <x v="1"/>
    <x v="1"/>
    <x v="0"/>
    <x v="1"/>
    <x v="91"/>
  </r>
  <r>
    <s v="Unisam Bel patra plant Pot Bel Plant  (Hybrid, Pack of 1)"/>
    <n v="788"/>
    <n v="132"/>
    <n v="0.83"/>
    <x v="1"/>
    <x v="0"/>
    <x v="9"/>
    <x v="0"/>
    <x v="1"/>
    <x v="1"/>
    <x v="0"/>
    <x v="1"/>
    <x v="92"/>
  </r>
  <r>
    <s v="AloGardening Chrysanthemums/ Guldavari Plant  (Hybrid, Pack of 1)"/>
    <n v="449"/>
    <n v="140"/>
    <n v="0.68"/>
    <x v="1"/>
    <x v="0"/>
    <x v="2"/>
    <x v="0"/>
    <x v="1"/>
    <x v="0"/>
    <x v="0"/>
    <x v="1"/>
    <x v="8"/>
  </r>
  <r>
    <s v="PLANTTOOZS Ficus Bonsai  (Hybrid, Pack of 1)"/>
    <n v="749"/>
    <n v="130"/>
    <n v="0.82"/>
    <x v="1"/>
    <x v="0"/>
    <x v="7"/>
    <x v="0"/>
    <x v="1"/>
    <x v="1"/>
    <x v="0"/>
    <x v="1"/>
    <x v="27"/>
  </r>
  <r>
    <s v="greenhousestore Strawberry Plant  (Hybrid, Pack of 2)"/>
    <n v="494"/>
    <n v="129"/>
    <n v="0.73"/>
    <x v="0"/>
    <x v="0"/>
    <x v="1"/>
    <x v="1"/>
    <x v="1"/>
    <x v="1"/>
    <x v="0"/>
    <x v="1"/>
    <x v="1"/>
  </r>
  <r>
    <s v="RoyalTree Rose Plant  (Hybrid, Pack of 1)"/>
    <n v="499"/>
    <n v="155"/>
    <n v="0.68"/>
    <x v="1"/>
    <x v="0"/>
    <x v="2"/>
    <x v="0"/>
    <x v="1"/>
    <x v="0"/>
    <x v="0"/>
    <x v="1"/>
    <x v="93"/>
  </r>
  <r>
    <s v="UGAOO Haworthia Cactus  (Pack of 1)"/>
    <n v="349"/>
    <n v="239"/>
    <n v="0.31"/>
    <x v="1"/>
    <x v="0"/>
    <x v="8"/>
    <x v="1"/>
    <x v="0"/>
    <x v="0"/>
    <x v="0"/>
    <x v="0"/>
    <x v="11"/>
  </r>
  <r>
    <s v="TECNOFEX Money Plant, Bamboo Palm Plant, Lucky Bamboo Straight Stick  (Hybrid, Pack of 1)"/>
    <n v="999"/>
    <n v="129"/>
    <n v="0.87"/>
    <x v="0"/>
    <x v="0"/>
    <x v="6"/>
    <x v="0"/>
    <x v="1"/>
    <x v="1"/>
    <x v="15"/>
    <x v="1"/>
    <x v="94"/>
  </r>
  <r>
    <s v="Majumder Enterprise Bougainvillea Plant  (Hybrid, Pack of 1)"/>
    <n v="799"/>
    <n v="128"/>
    <n v="0.83"/>
    <x v="0"/>
    <x v="0"/>
    <x v="2"/>
    <x v="1"/>
    <x v="1"/>
    <x v="0"/>
    <x v="0"/>
    <x v="1"/>
    <x v="95"/>
  </r>
  <r>
    <s v="BRAZILIAN WOOD TREE Mini Brazalian wood  (Pack of 1)"/>
    <n v="766"/>
    <n v="128"/>
    <n v="0.83"/>
    <x v="1"/>
    <x v="0"/>
    <x v="6"/>
    <x v="1"/>
    <x v="0"/>
    <x v="1"/>
    <x v="13"/>
    <x v="0"/>
    <x v="96"/>
  </r>
  <r>
    <s v="Growerstore Madhu Kamini Plant  (Hybrid, Pack of 1)"/>
    <n v="399"/>
    <n v="126"/>
    <n v="0.68"/>
    <x v="0"/>
    <x v="0"/>
    <x v="4"/>
    <x v="1"/>
    <x v="1"/>
    <x v="0"/>
    <x v="14"/>
    <x v="1"/>
    <x v="90"/>
  </r>
  <r>
    <s v="EVY Ashwagandha/Indian Ginseng  (Hybrid, Pack of 1)"/>
    <n v="499"/>
    <n v="139"/>
    <n v="0.72"/>
    <x v="0"/>
    <x v="0"/>
    <x v="3"/>
    <x v="1"/>
    <x v="1"/>
    <x v="0"/>
    <x v="15"/>
    <x v="1"/>
    <x v="18"/>
  </r>
  <r>
    <s v="LaughEarth Areca Palm  (Hybrid, Pack of 1)"/>
    <n v="499"/>
    <n v="160"/>
    <n v="0.67"/>
    <x v="1"/>
    <x v="0"/>
    <x v="6"/>
    <x v="0"/>
    <x v="1"/>
    <x v="1"/>
    <x v="0"/>
    <x v="1"/>
    <x v="12"/>
  </r>
  <r>
    <s v="PlantsHub Peace Lily Plant  (Hybrid, Pack of 1)"/>
    <n v="499"/>
    <n v="135"/>
    <n v="0.72"/>
    <x v="1"/>
    <x v="0"/>
    <x v="9"/>
    <x v="1"/>
    <x v="0"/>
    <x v="0"/>
    <x v="0"/>
    <x v="1"/>
    <x v="97"/>
  </r>
  <r>
    <s v="FSK Aparajita/ Butterfly Pea Plant  (Hybrid, Pack of 2)"/>
    <n v="419"/>
    <n v="124"/>
    <n v="0.7"/>
    <x v="1"/>
    <x v="0"/>
    <x v="2"/>
    <x v="1"/>
    <x v="1"/>
    <x v="0"/>
    <x v="2"/>
    <x v="1"/>
    <x v="7"/>
  </r>
  <r>
    <s v="greenhousestore Ber Apple Plant  (Hybrid, Pack of 1)"/>
    <n v="499"/>
    <n v="127"/>
    <n v="0.74"/>
    <x v="1"/>
    <x v="0"/>
    <x v="1"/>
    <x v="2"/>
    <x v="1"/>
    <x v="1"/>
    <x v="0"/>
    <x v="1"/>
    <x v="1"/>
  </r>
  <r>
    <s v="FSK Rose Plant  (Hybrid, Pack of 1)"/>
    <n v="499"/>
    <n v="132"/>
    <n v="0.73"/>
    <x v="0"/>
    <x v="0"/>
    <x v="2"/>
    <x v="1"/>
    <x v="1"/>
    <x v="0"/>
    <x v="0"/>
    <x v="1"/>
    <x v="7"/>
  </r>
  <r>
    <s v="Cloud Farm Baugainvillea Plant  (Hybrid, Pack of 1)"/>
    <n v="199"/>
    <n v="127"/>
    <n v="0.36"/>
    <x v="1"/>
    <x v="0"/>
    <x v="2"/>
    <x v="0"/>
    <x v="1"/>
    <x v="0"/>
    <x v="0"/>
    <x v="1"/>
    <x v="6"/>
  </r>
  <r>
    <s v="ToGon Rose Plant  (Hybrid, Pack of 4)"/>
    <n v="399"/>
    <n v="140"/>
    <n v="0.64"/>
    <x v="0"/>
    <x v="0"/>
    <x v="2"/>
    <x v="0"/>
    <x v="1"/>
    <x v="0"/>
    <x v="0"/>
    <x v="1"/>
    <x v="98"/>
  </r>
  <r>
    <s v="greenhousestore Areca Palm  (Hybrid, Pack of 1)"/>
    <n v="350"/>
    <n v="120"/>
    <n v="0.65"/>
    <x v="1"/>
    <x v="0"/>
    <x v="7"/>
    <x v="0"/>
    <x v="1"/>
    <x v="0"/>
    <x v="0"/>
    <x v="1"/>
    <x v="1"/>
  </r>
  <r>
    <s v="Cloud Farm Rose Plant  (Hybrid, Pack of 1)"/>
    <n v="499"/>
    <n v="122"/>
    <n v="0.75"/>
    <x v="1"/>
    <x v="0"/>
    <x v="2"/>
    <x v="0"/>
    <x v="1"/>
    <x v="1"/>
    <x v="0"/>
    <x v="1"/>
    <x v="6"/>
  </r>
  <r>
    <s v="AloGardening Christmas Tree Plant  (Hybrid, Pack of 1)"/>
    <n v="400"/>
    <n v="153"/>
    <n v="0.61"/>
    <x v="1"/>
    <x v="0"/>
    <x v="5"/>
    <x v="0"/>
    <x v="1"/>
    <x v="1"/>
    <x v="6"/>
    <x v="1"/>
    <x v="8"/>
  </r>
  <r>
    <s v="Krishna All Time Grafted Mango Plant  (Hybrid, Pack of 1)"/>
    <n v="386"/>
    <n v="125"/>
    <n v="0.67"/>
    <x v="1"/>
    <x v="0"/>
    <x v="1"/>
    <x v="1"/>
    <x v="1"/>
    <x v="1"/>
    <x v="0"/>
    <x v="1"/>
    <x v="99"/>
  </r>
  <r>
    <s v="greenhousestore Bougainvillea Plant  (Hybrid, Pack of 1)"/>
    <n v="599"/>
    <n v="130"/>
    <n v="0.78"/>
    <x v="1"/>
    <x v="0"/>
    <x v="2"/>
    <x v="1"/>
    <x v="1"/>
    <x v="1"/>
    <x v="0"/>
    <x v="1"/>
    <x v="1"/>
  </r>
  <r>
    <s v="UGAOO Golden Money Plant  (Pack of 1)"/>
    <n v="449"/>
    <n v="249"/>
    <n v="0.44"/>
    <x v="1"/>
    <x v="0"/>
    <x v="8"/>
    <x v="2"/>
    <x v="0"/>
    <x v="0"/>
    <x v="0"/>
    <x v="0"/>
    <x v="11"/>
  </r>
  <r>
    <s v="GLOBQRO Grape Plant  (Hybrid, Pack of 1)"/>
    <n v="1500"/>
    <n v="125"/>
    <n v="0.91"/>
    <x v="1"/>
    <x v="0"/>
    <x v="1"/>
    <x v="0"/>
    <x v="1"/>
    <x v="1"/>
    <x v="0"/>
    <x v="1"/>
    <x v="100"/>
  </r>
  <r>
    <s v="AquinnahGaden Baugainvillea Plant  (Hybrid, Pack of 1)"/>
    <n v="489"/>
    <n v="128"/>
    <n v="0.73"/>
    <x v="0"/>
    <x v="0"/>
    <x v="2"/>
    <x v="1"/>
    <x v="1"/>
    <x v="1"/>
    <x v="0"/>
    <x v="1"/>
    <x v="30"/>
  </r>
  <r>
    <s v="FSK China Palm Plant  (Hybrid, Pack of 1)"/>
    <n v="399"/>
    <n v="147"/>
    <n v="0.63"/>
    <x v="1"/>
    <x v="0"/>
    <x v="6"/>
    <x v="0"/>
    <x v="1"/>
    <x v="0"/>
    <x v="0"/>
    <x v="1"/>
    <x v="7"/>
  </r>
  <r>
    <s v="UGAOO Chlorophytum Spider Plant  (Pack of 1)"/>
    <n v="349"/>
    <n v="219"/>
    <n v="0.37"/>
    <x v="1"/>
    <x v="0"/>
    <x v="8"/>
    <x v="1"/>
    <x v="0"/>
    <x v="0"/>
    <x v="0"/>
    <x v="0"/>
    <x v="11"/>
  </r>
  <r>
    <s v="Risenshine Jade Plant  (Hybrid, Pack of 1)"/>
    <n v="599"/>
    <n v="125"/>
    <n v="0.79"/>
    <x v="1"/>
    <x v="0"/>
    <x v="0"/>
    <x v="0"/>
    <x v="1"/>
    <x v="0"/>
    <x v="0"/>
    <x v="1"/>
    <x v="101"/>
  </r>
  <r>
    <s v="Samarthgreens Tuberose/Rajnigandha Plant  (Hybrid, Pack of 1)"/>
    <n v="699"/>
    <n v="118"/>
    <n v="0.83"/>
    <x v="1"/>
    <x v="0"/>
    <x v="2"/>
    <x v="0"/>
    <x v="1"/>
    <x v="0"/>
    <x v="0"/>
    <x v="1"/>
    <x v="59"/>
  </r>
  <r>
    <s v="greenhousestore Litchi Plant  (Hybrid, Pack of 1)"/>
    <n v="442"/>
    <n v="127"/>
    <n v="0.71"/>
    <x v="0"/>
    <x v="0"/>
    <x v="1"/>
    <x v="0"/>
    <x v="1"/>
    <x v="1"/>
    <x v="0"/>
    <x v="1"/>
    <x v="1"/>
  </r>
  <r>
    <s v="Cloud Farm Areca Plam  (Pack of 1)"/>
    <n v="499"/>
    <n v="135"/>
    <n v="0.72"/>
    <x v="1"/>
    <x v="0"/>
    <x v="8"/>
    <x v="1"/>
    <x v="0"/>
    <x v="0"/>
    <x v="0"/>
    <x v="0"/>
    <x v="6"/>
  </r>
  <r>
    <s v="EarthAngel Neem Plant  (Hybrid, Pack of 1)"/>
    <n v="499"/>
    <n v="126"/>
    <n v="0.74"/>
    <x v="1"/>
    <x v="0"/>
    <x v="1"/>
    <x v="0"/>
    <x v="1"/>
    <x v="1"/>
    <x v="1"/>
    <x v="1"/>
    <x v="54"/>
  </r>
  <r>
    <s v="Agriclons and nusary Bryophyllum Pinnatum/Patharchatta Plant  (Hybrid, Pack of 1)"/>
    <n v="499"/>
    <n v="125"/>
    <n v="0.74"/>
    <x v="1"/>
    <x v="0"/>
    <x v="3"/>
    <x v="1"/>
    <x v="1"/>
    <x v="0"/>
    <x v="14"/>
    <x v="1"/>
    <x v="102"/>
  </r>
  <r>
    <s v="PLANTTOOZS Elaichi/Cardamom Plant  (Hybrid, Pack of 1)"/>
    <n v="499"/>
    <n v="122"/>
    <n v="0.75"/>
    <x v="1"/>
    <x v="0"/>
    <x v="3"/>
    <x v="0"/>
    <x v="1"/>
    <x v="1"/>
    <x v="0"/>
    <x v="1"/>
    <x v="27"/>
  </r>
  <r>
    <s v="Laxmi kamal plant Laxmi Kamal Plant  (Hybrid, Pack of 2)"/>
    <n v="890"/>
    <n v="144"/>
    <n v="0.83"/>
    <x v="0"/>
    <x v="0"/>
    <x v="5"/>
    <x v="1"/>
    <x v="1"/>
    <x v="1"/>
    <x v="0"/>
    <x v="1"/>
    <x v="103"/>
  </r>
  <r>
    <s v="LaughEarth Peace Lily Plant  (Hybrid, Pack of 1)"/>
    <n v="499"/>
    <n v="135"/>
    <n v="0.72"/>
    <x v="0"/>
    <x v="0"/>
    <x v="2"/>
    <x v="0"/>
    <x v="1"/>
    <x v="0"/>
    <x v="0"/>
    <x v="1"/>
    <x v="12"/>
  </r>
  <r>
    <s v="MIDNIGHT MORNING Rose Plant  (Hybrid, Pack of 1)"/>
    <n v="399"/>
    <n v="122"/>
    <n v="0.69"/>
    <x v="0"/>
    <x v="0"/>
    <x v="2"/>
    <x v="0"/>
    <x v="1"/>
    <x v="0"/>
    <x v="0"/>
    <x v="1"/>
    <x v="104"/>
  </r>
  <r>
    <s v="Tigress Tulsi Plant  (Hybrid, Pack of 1)"/>
    <n v="190"/>
    <n v="135"/>
    <n v="0.28000000000000003"/>
    <x v="0"/>
    <x v="0"/>
    <x v="2"/>
    <x v="1"/>
    <x v="1"/>
    <x v="0"/>
    <x v="0"/>
    <x v="1"/>
    <x v="105"/>
  </r>
  <r>
    <s v="JESAA GREENS Jade Plant, Money Plant, Snake Plant, Two Layer Bamboo Plant, Syngonium Bronze Maria Plant  (Pack of 5)"/>
    <n v="1599"/>
    <n v="749"/>
    <n v="0.53"/>
    <x v="1"/>
    <x v="0"/>
    <x v="6"/>
    <x v="1"/>
    <x v="0"/>
    <x v="0"/>
    <x v="13"/>
    <x v="0"/>
    <x v="106"/>
  </r>
  <r>
    <s v="MAHAMAYA A TO Z Water Pennywort  (Pack of 2)"/>
    <n v="1033"/>
    <n v="139"/>
    <n v="0.86"/>
    <x v="1"/>
    <x v="0"/>
    <x v="3"/>
    <x v="1"/>
    <x v="1"/>
    <x v="1"/>
    <x v="0"/>
    <x v="0"/>
    <x v="107"/>
  </r>
  <r>
    <s v="greenhousestore Grapes Plant  (Hybrid, Pack of 1)"/>
    <n v="599"/>
    <n v="127"/>
    <n v="0.78"/>
    <x v="1"/>
    <x v="0"/>
    <x v="1"/>
    <x v="1"/>
    <x v="1"/>
    <x v="1"/>
    <x v="0"/>
    <x v="1"/>
    <x v="1"/>
  </r>
  <r>
    <s v="Gabbro Jade Plant  (Hybrid, Pack of 1)"/>
    <n v="699"/>
    <n v="199"/>
    <n v="0.71"/>
    <x v="0"/>
    <x v="0"/>
    <x v="5"/>
    <x v="0"/>
    <x v="1"/>
    <x v="1"/>
    <x v="15"/>
    <x v="1"/>
    <x v="21"/>
  </r>
  <r>
    <s v="Axotic Diamond Grafted Apple Plant  (Hybrid, Pack of 1)"/>
    <n v="349"/>
    <n v="122"/>
    <n v="0.65"/>
    <x v="0"/>
    <x v="0"/>
    <x v="1"/>
    <x v="1"/>
    <x v="1"/>
    <x v="1"/>
    <x v="0"/>
    <x v="1"/>
    <x v="108"/>
  </r>
  <r>
    <s v="Global Mart Plant Bougainvillea Plant  (Hybrid, Pack of 1)"/>
    <n v="399"/>
    <n v="157"/>
    <n v="0.6"/>
    <x v="0"/>
    <x v="0"/>
    <x v="2"/>
    <x v="0"/>
    <x v="1"/>
    <x v="1"/>
    <x v="0"/>
    <x v="1"/>
    <x v="4"/>
  </r>
  <r>
    <s v="Risenshine Bryophyllum Pinnatum/Patharchatta Plant  (Pack of 1)"/>
    <n v="599"/>
    <n v="113"/>
    <n v="0.81"/>
    <x v="0"/>
    <x v="0"/>
    <x v="8"/>
    <x v="0"/>
    <x v="1"/>
    <x v="1"/>
    <x v="0"/>
    <x v="0"/>
    <x v="101"/>
  </r>
  <r>
    <s v="greenhousestore Bougainvillea Plant  (Hybrid, Pack of 1)"/>
    <n v="599"/>
    <n v="125"/>
    <n v="0.79"/>
    <x v="1"/>
    <x v="0"/>
    <x v="8"/>
    <x v="1"/>
    <x v="1"/>
    <x v="1"/>
    <x v="0"/>
    <x v="1"/>
    <x v="1"/>
  </r>
  <r>
    <s v="UGAOO Golden Money Plant  (Pack of 1)"/>
    <n v="349"/>
    <n v="189"/>
    <n v="0.45"/>
    <x v="1"/>
    <x v="0"/>
    <x v="8"/>
    <x v="1"/>
    <x v="0"/>
    <x v="0"/>
    <x v="0"/>
    <x v="0"/>
    <x v="11"/>
  </r>
  <r>
    <s v="bhowmick Areca Palm  (Hybrid, Pack of 1)"/>
    <n v="599"/>
    <n v="169"/>
    <n v="0.71"/>
    <x v="0"/>
    <x v="0"/>
    <x v="9"/>
    <x v="0"/>
    <x v="1"/>
    <x v="0"/>
    <x v="0"/>
    <x v="1"/>
    <x v="109"/>
  </r>
  <r>
    <s v="HARIGURU All Spice Plant  (Pack of 1)"/>
    <n v="299"/>
    <n v="185"/>
    <n v="0.38"/>
    <x v="0"/>
    <x v="0"/>
    <x v="3"/>
    <x v="2"/>
    <x v="1"/>
    <x v="0"/>
    <x v="1"/>
    <x v="0"/>
    <x v="26"/>
  </r>
  <r>
    <s v="AloGardening Adenium Plant  (Hybrid, Pack of 2)"/>
    <n v="489"/>
    <n v="189"/>
    <n v="0.61"/>
    <x v="1"/>
    <x v="0"/>
    <x v="2"/>
    <x v="0"/>
    <x v="1"/>
    <x v="0"/>
    <x v="0"/>
    <x v="1"/>
    <x v="8"/>
  </r>
  <r>
    <s v="Mohomaya Sweet Lemon Plant  (Hybrid, Pack of 1)"/>
    <n v="299"/>
    <n v="115"/>
    <n v="0.61"/>
    <x v="1"/>
    <x v="0"/>
    <x v="1"/>
    <x v="1"/>
    <x v="1"/>
    <x v="1"/>
    <x v="0"/>
    <x v="1"/>
    <x v="110"/>
  </r>
  <r>
    <s v="bhowmick Baugainvillea Plant  (Hybrid, Pack of 1)"/>
    <n v="499"/>
    <n v="134"/>
    <n v="0.73"/>
    <x v="0"/>
    <x v="0"/>
    <x v="2"/>
    <x v="0"/>
    <x v="1"/>
    <x v="0"/>
    <x v="0"/>
    <x v="1"/>
    <x v="109"/>
  </r>
  <r>
    <s v="My Dream Nursery Black Pepper Plant  (Hybrid, Pack of 1)"/>
    <n v="200"/>
    <n v="149"/>
    <n v="0.25"/>
    <x v="1"/>
    <x v="0"/>
    <x v="1"/>
    <x v="0"/>
    <x v="1"/>
    <x v="1"/>
    <x v="0"/>
    <x v="1"/>
    <x v="91"/>
  </r>
  <r>
    <s v="AloGardening Adenium Plant  (Hybrid, Pack of 6)"/>
    <n v="789"/>
    <n v="270"/>
    <n v="0.65"/>
    <x v="1"/>
    <x v="0"/>
    <x v="2"/>
    <x v="0"/>
    <x v="1"/>
    <x v="0"/>
    <x v="0"/>
    <x v="1"/>
    <x v="8"/>
  </r>
  <r>
    <s v="RudraECOM Hibiscus Plant  (Hybrid, Pack of 1)"/>
    <n v="499"/>
    <n v="125"/>
    <n v="0.74"/>
    <x v="0"/>
    <x v="0"/>
    <x v="2"/>
    <x v="0"/>
    <x v="1"/>
    <x v="1"/>
    <x v="6"/>
    <x v="1"/>
    <x v="111"/>
  </r>
  <r>
    <s v="MAHAMAYA A TO Z Mimosa pudica Plant  (Hybrid, Pack of 1)"/>
    <n v="1000"/>
    <n v="143"/>
    <n v="0.85"/>
    <x v="1"/>
    <x v="0"/>
    <x v="3"/>
    <x v="0"/>
    <x v="1"/>
    <x v="1"/>
    <x v="0"/>
    <x v="1"/>
    <x v="107"/>
  </r>
  <r>
    <s v="Aquinnah Almond Plant  (Hybrid, Pack of 1)"/>
    <n v="499"/>
    <n v="159"/>
    <n v="0.68"/>
    <x v="1"/>
    <x v="0"/>
    <x v="1"/>
    <x v="1"/>
    <x v="1"/>
    <x v="1"/>
    <x v="0"/>
    <x v="1"/>
    <x v="72"/>
  </r>
  <r>
    <s v="Gabbro Two Layer Bamboo Plant  (Hybrid, Pack of 1)"/>
    <n v="999"/>
    <n v="299"/>
    <n v="0.7"/>
    <x v="0"/>
    <x v="0"/>
    <x v="6"/>
    <x v="0"/>
    <x v="0"/>
    <x v="1"/>
    <x v="15"/>
    <x v="1"/>
    <x v="21"/>
  </r>
  <r>
    <s v="Heaven Of Saplings Areca Palm  (Hybrid, Pack of 1)"/>
    <n v="200"/>
    <n v="135"/>
    <n v="0.32"/>
    <x v="1"/>
    <x v="0"/>
    <x v="6"/>
    <x v="0"/>
    <x v="1"/>
    <x v="1"/>
    <x v="14"/>
    <x v="1"/>
    <x v="77"/>
  </r>
  <r>
    <s v="SKDIYA Cherry Fruit Plant  (Hybrid, Pack of 1)"/>
    <n v="595"/>
    <n v="137"/>
    <n v="0.76"/>
    <x v="1"/>
    <x v="0"/>
    <x v="1"/>
    <x v="0"/>
    <x v="1"/>
    <x v="0"/>
    <x v="0"/>
    <x v="1"/>
    <x v="112"/>
  </r>
  <r>
    <s v="UGAOO Peace Lily Plant  (Pack of 1)"/>
    <n v="599"/>
    <n v="299"/>
    <n v="0.5"/>
    <x v="1"/>
    <x v="0"/>
    <x v="8"/>
    <x v="2"/>
    <x v="0"/>
    <x v="0"/>
    <x v="0"/>
    <x v="0"/>
    <x v="11"/>
  </r>
  <r>
    <s v="ZOOMGREEN Areca Palm  (Pack of 1)"/>
    <n v="499"/>
    <n v="129"/>
    <n v="0.74"/>
    <x v="0"/>
    <x v="0"/>
    <x v="7"/>
    <x v="1"/>
    <x v="0"/>
    <x v="0"/>
    <x v="0"/>
    <x v="0"/>
    <x v="28"/>
  </r>
  <r>
    <s v="ADA Shami/Jand Plant  (Pack of 1)"/>
    <n v="449"/>
    <n v="125"/>
    <n v="0.72"/>
    <x v="0"/>
    <x v="0"/>
    <x v="9"/>
    <x v="0"/>
    <x v="1"/>
    <x v="0"/>
    <x v="0"/>
    <x v="0"/>
    <x v="71"/>
  </r>
  <r>
    <s v="Green view Coconut Plant  (Hybrid, Pack of 1)"/>
    <n v="425"/>
    <n v="275"/>
    <n v="0.35"/>
    <x v="1"/>
    <x v="0"/>
    <x v="1"/>
    <x v="0"/>
    <x v="1"/>
    <x v="0"/>
    <x v="0"/>
    <x v="1"/>
    <x v="113"/>
  </r>
  <r>
    <s v="PlantsBazaar Rubber Tree  (Pack of 1)"/>
    <n v="499"/>
    <n v="145"/>
    <n v="0.7"/>
    <x v="1"/>
    <x v="0"/>
    <x v="0"/>
    <x v="0"/>
    <x v="0"/>
    <x v="0"/>
    <x v="0"/>
    <x v="0"/>
    <x v="114"/>
  </r>
  <r>
    <s v="SANJU Strawberry Plant  (Hybrid, Pack of 1)"/>
    <n v="299"/>
    <n v="119"/>
    <n v="0.6"/>
    <x v="1"/>
    <x v="0"/>
    <x v="1"/>
    <x v="1"/>
    <x v="1"/>
    <x v="0"/>
    <x v="0"/>
    <x v="1"/>
    <x v="115"/>
  </r>
  <r>
    <s v="Aquinnah Graden Pistachio Plant  (Hybrid, Pack of 1)"/>
    <n v="489"/>
    <n v="145"/>
    <n v="0.7"/>
    <x v="1"/>
    <x v="0"/>
    <x v="1"/>
    <x v="1"/>
    <x v="1"/>
    <x v="1"/>
    <x v="0"/>
    <x v="1"/>
    <x v="5"/>
  </r>
  <r>
    <s v="sspykrts Clove Plant  (Hybrid, Pack of 3)"/>
    <n v="599"/>
    <n v="126"/>
    <n v="0.78"/>
    <x v="1"/>
    <x v="0"/>
    <x v="9"/>
    <x v="1"/>
    <x v="1"/>
    <x v="0"/>
    <x v="0"/>
    <x v="1"/>
    <x v="116"/>
  </r>
  <r>
    <s v="Ukanda Bay Leaf Plant  (Hybrid, Pack of 1)"/>
    <n v="299"/>
    <n v="124"/>
    <n v="0.57999999999999996"/>
    <x v="1"/>
    <x v="0"/>
    <x v="3"/>
    <x v="0"/>
    <x v="1"/>
    <x v="1"/>
    <x v="0"/>
    <x v="1"/>
    <x v="17"/>
  </r>
  <r>
    <s v="Green view Coconut Plant  (Hybrid, Pack of 1)"/>
    <n v="625"/>
    <n v="298"/>
    <n v="0.52"/>
    <x v="1"/>
    <x v="0"/>
    <x v="1"/>
    <x v="0"/>
    <x v="1"/>
    <x v="0"/>
    <x v="0"/>
    <x v="1"/>
    <x v="113"/>
  </r>
  <r>
    <s v="PLANTTOOZS Red Sandalwood Plant  (Pack of 1)"/>
    <n v="625"/>
    <n v="122"/>
    <n v="0.8"/>
    <x v="1"/>
    <x v="0"/>
    <x v="8"/>
    <x v="1"/>
    <x v="1"/>
    <x v="0"/>
    <x v="0"/>
    <x v="0"/>
    <x v="27"/>
  </r>
  <r>
    <s v="Aquinnah Banana Plant  (Hybrid, Pack of 1)"/>
    <n v="499"/>
    <n v="141"/>
    <n v="0.71"/>
    <x v="1"/>
    <x v="0"/>
    <x v="1"/>
    <x v="1"/>
    <x v="1"/>
    <x v="1"/>
    <x v="0"/>
    <x v="1"/>
    <x v="72"/>
  </r>
  <r>
    <s v="Green view Coconut Plant  (Hybrid, Pack of 1)"/>
    <n v="419"/>
    <n v="289"/>
    <n v="0.31"/>
    <x v="1"/>
    <x v="0"/>
    <x v="1"/>
    <x v="0"/>
    <x v="1"/>
    <x v="0"/>
    <x v="0"/>
    <x v="1"/>
    <x v="113"/>
  </r>
  <r>
    <s v="Cloud Farm Grapes Plant  (Hybrid, Pack of 2)"/>
    <n v="499"/>
    <n v="135"/>
    <n v="0.72"/>
    <x v="1"/>
    <x v="0"/>
    <x v="1"/>
    <x v="0"/>
    <x v="1"/>
    <x v="0"/>
    <x v="0"/>
    <x v="1"/>
    <x v="6"/>
  </r>
  <r>
    <s v="Global Mart Plant Cannon Ball Tree Plant  (Hybrid, Pack of 1)"/>
    <n v="399"/>
    <n v="125"/>
    <n v="0.68"/>
    <x v="1"/>
    <x v="0"/>
    <x v="1"/>
    <x v="1"/>
    <x v="1"/>
    <x v="1"/>
    <x v="0"/>
    <x v="1"/>
    <x v="4"/>
  </r>
  <r>
    <s v="AloGardening Adenium Plant  (Hybrid, Pack of 2)"/>
    <n v="489"/>
    <n v="189"/>
    <n v="0.61"/>
    <x v="1"/>
    <x v="0"/>
    <x v="2"/>
    <x v="0"/>
    <x v="1"/>
    <x v="0"/>
    <x v="0"/>
    <x v="1"/>
    <x v="8"/>
  </r>
  <r>
    <s v="Green view Coconut Plant  (Hybrid, Pack of 1)"/>
    <n v="449"/>
    <n v="271"/>
    <n v="0.39"/>
    <x v="1"/>
    <x v="0"/>
    <x v="1"/>
    <x v="0"/>
    <x v="1"/>
    <x v="0"/>
    <x v="0"/>
    <x v="1"/>
    <x v="113"/>
  </r>
  <r>
    <s v="Ukaanda Money Plant  (Pack of 1)"/>
    <n v="399"/>
    <n v="127"/>
    <n v="0.68"/>
    <x v="1"/>
    <x v="0"/>
    <x v="0"/>
    <x v="1"/>
    <x v="1"/>
    <x v="1"/>
    <x v="0"/>
    <x v="0"/>
    <x v="117"/>
  </r>
  <r>
    <s v="greenhousestore Christmas Tree Plant  (Hybrid, Pack of 1)"/>
    <n v="596"/>
    <n v="126"/>
    <n v="0.78"/>
    <x v="1"/>
    <x v="0"/>
    <x v="5"/>
    <x v="1"/>
    <x v="1"/>
    <x v="1"/>
    <x v="0"/>
    <x v="1"/>
    <x v="1"/>
  </r>
  <r>
    <s v="Cloud Farm Money Plant  (Hybrid, Pack of 1)"/>
    <n v="499"/>
    <n v="130"/>
    <n v="0.73"/>
    <x v="0"/>
    <x v="0"/>
    <x v="4"/>
    <x v="0"/>
    <x v="0"/>
    <x v="0"/>
    <x v="0"/>
    <x v="1"/>
    <x v="6"/>
  </r>
  <r>
    <s v="Phoolistan Ficus Plant  (Hybrid, Pack of 1)"/>
    <n v="499"/>
    <n v="130"/>
    <n v="0.73"/>
    <x v="1"/>
    <x v="0"/>
    <x v="7"/>
    <x v="1"/>
    <x v="0"/>
    <x v="0"/>
    <x v="0"/>
    <x v="1"/>
    <x v="118"/>
  </r>
  <r>
    <s v="greenhousestore Litchi Plant  (Hybrid, Pack of 1)"/>
    <n v="599"/>
    <n v="126"/>
    <n v="0.78"/>
    <x v="1"/>
    <x v="0"/>
    <x v="1"/>
    <x v="1"/>
    <x v="1"/>
    <x v="1"/>
    <x v="0"/>
    <x v="1"/>
    <x v="1"/>
  </r>
  <r>
    <s v="PB HONEY PRIYA PLaNTS Bluebell barleria Plant  (Hybrid, Pack of 1)"/>
    <n v="299"/>
    <n v="166"/>
    <n v="0.44"/>
    <x v="0"/>
    <x v="0"/>
    <x v="1"/>
    <x v="1"/>
    <x v="1"/>
    <x v="1"/>
    <x v="0"/>
    <x v="1"/>
    <x v="57"/>
  </r>
  <r>
    <s v="UGAOO Golden Sedum Plant  (Pack of 1)"/>
    <n v="349"/>
    <n v="199"/>
    <n v="0.42"/>
    <x v="1"/>
    <x v="0"/>
    <x v="8"/>
    <x v="1"/>
    <x v="0"/>
    <x v="0"/>
    <x v="0"/>
    <x v="0"/>
    <x v="11"/>
  </r>
  <r>
    <s v="GLOBQRO Begonia Vanusta Plant  (Hybrid, Pack of 1)"/>
    <n v="499"/>
    <n v="150"/>
    <n v="0.69"/>
    <x v="1"/>
    <x v="0"/>
    <x v="2"/>
    <x v="0"/>
    <x v="1"/>
    <x v="1"/>
    <x v="0"/>
    <x v="1"/>
    <x v="100"/>
  </r>
  <r>
    <s v="greengrow Shami/Jand Plant  (Pack of 1)"/>
    <n v="299"/>
    <n v="127"/>
    <n v="0.56999999999999995"/>
    <x v="1"/>
    <x v="0"/>
    <x v="0"/>
    <x v="1"/>
    <x v="1"/>
    <x v="1"/>
    <x v="0"/>
    <x v="0"/>
    <x v="38"/>
  </r>
  <r>
    <s v="AloGardening Basmati Plant  (Hybrid, Pack of 1)"/>
    <n v="449"/>
    <n v="178"/>
    <n v="0.6"/>
    <x v="1"/>
    <x v="0"/>
    <x v="3"/>
    <x v="0"/>
    <x v="1"/>
    <x v="0"/>
    <x v="0"/>
    <x v="1"/>
    <x v="8"/>
  </r>
  <r>
    <s v="Cloud Farm Bougainvillea Plant  (Hybrid, Pack of 1)"/>
    <n v="499"/>
    <n v="135"/>
    <n v="0.72"/>
    <x v="1"/>
    <x v="0"/>
    <x v="2"/>
    <x v="1"/>
    <x v="1"/>
    <x v="1"/>
    <x v="0"/>
    <x v="1"/>
    <x v="6"/>
  </r>
  <r>
    <s v="YourPlant Adenium Plant  (Hybrid, Pack of 2)"/>
    <n v="649"/>
    <n v="145"/>
    <n v="0.77"/>
    <x v="1"/>
    <x v="0"/>
    <x v="7"/>
    <x v="1"/>
    <x v="1"/>
    <x v="0"/>
    <x v="0"/>
    <x v="1"/>
    <x v="119"/>
  </r>
  <r>
    <s v="PLANTGENIC NATURE White Sandalwood Plant  (Hybrid, Pack of 1)"/>
    <n v="320"/>
    <n v="121"/>
    <n v="0.62"/>
    <x v="1"/>
    <x v="0"/>
    <x v="5"/>
    <x v="1"/>
    <x v="1"/>
    <x v="1"/>
    <x v="4"/>
    <x v="1"/>
    <x v="120"/>
  </r>
  <r>
    <s v="GreenHorizon Bryophyllum Pinnatum/Patharchatta Plant  (Pack of 1)"/>
    <n v="366"/>
    <n v="134"/>
    <n v="0.63"/>
    <x v="1"/>
    <x v="0"/>
    <x v="3"/>
    <x v="0"/>
    <x v="1"/>
    <x v="0"/>
    <x v="18"/>
    <x v="0"/>
    <x v="19"/>
  </r>
  <r>
    <s v="greenhousestore Curry Leaf Plant  (Hybrid, Pack of 1)"/>
    <n v="399"/>
    <n v="134"/>
    <n v="0.66"/>
    <x v="0"/>
    <x v="0"/>
    <x v="3"/>
    <x v="0"/>
    <x v="1"/>
    <x v="1"/>
    <x v="0"/>
    <x v="1"/>
    <x v="1"/>
  </r>
  <r>
    <s v="Cloud Farm Coconut Plant  (Hybrid, Pack of 1)"/>
    <n v="499"/>
    <n v="150"/>
    <n v="0.69"/>
    <x v="0"/>
    <x v="0"/>
    <x v="1"/>
    <x v="1"/>
    <x v="1"/>
    <x v="1"/>
    <x v="0"/>
    <x v="1"/>
    <x v="6"/>
  </r>
  <r>
    <s v="ibains Mini Brazalian wood  (Hybrid, Pack of 1)"/>
    <n v="499"/>
    <n v="237"/>
    <n v="0.52"/>
    <x v="2"/>
    <x v="0"/>
    <x v="7"/>
    <x v="1"/>
    <x v="0"/>
    <x v="1"/>
    <x v="0"/>
    <x v="1"/>
    <x v="16"/>
  </r>
  <r>
    <s v="Natural needs Adenium Plant  (Hybrid, Pack of 1)"/>
    <n v="499"/>
    <n v="126"/>
    <n v="0.74"/>
    <x v="0"/>
    <x v="0"/>
    <x v="5"/>
    <x v="1"/>
    <x v="1"/>
    <x v="1"/>
    <x v="0"/>
    <x v="1"/>
    <x v="121"/>
  </r>
  <r>
    <s v="LaughEarth Bougainvillea Plant  (Hybrid, Pack of 1)"/>
    <n v="499"/>
    <n v="139"/>
    <n v="0.72"/>
    <x v="1"/>
    <x v="0"/>
    <x v="2"/>
    <x v="0"/>
    <x v="1"/>
    <x v="0"/>
    <x v="0"/>
    <x v="1"/>
    <x v="12"/>
  </r>
  <r>
    <s v="LaughEarth Hibiscus Plant  (Hybrid, Pack of 1)"/>
    <n v="299"/>
    <n v="171"/>
    <n v="0.42"/>
    <x v="0"/>
    <x v="0"/>
    <x v="2"/>
    <x v="0"/>
    <x v="1"/>
    <x v="1"/>
    <x v="0"/>
    <x v="1"/>
    <x v="12"/>
  </r>
  <r>
    <s v="LivePlant Money Plant  (Hybrid, Pack of 1)"/>
    <n v="300"/>
    <n v="113"/>
    <n v="0.62"/>
    <x v="1"/>
    <x v="0"/>
    <x v="0"/>
    <x v="0"/>
    <x v="0"/>
    <x v="1"/>
    <x v="0"/>
    <x v="1"/>
    <x v="81"/>
  </r>
  <r>
    <s v="Leafyjoy Brazilian Wood  (Pack of 1)"/>
    <n v="346"/>
    <n v="165"/>
    <n v="0.52"/>
    <x v="0"/>
    <x v="0"/>
    <x v="4"/>
    <x v="1"/>
    <x v="0"/>
    <x v="1"/>
    <x v="2"/>
    <x v="0"/>
    <x v="122"/>
  </r>
  <r>
    <s v="AquinnahGaden Brahma Kamal Plant  (Hybrid, Pack of 1)"/>
    <n v="489"/>
    <n v="158"/>
    <n v="0.67"/>
    <x v="0"/>
    <x v="0"/>
    <x v="2"/>
    <x v="1"/>
    <x v="1"/>
    <x v="1"/>
    <x v="0"/>
    <x v="1"/>
    <x v="30"/>
  </r>
  <r>
    <s v="greenhousestore Orange Plant  (Hybrid, Pack of 1)"/>
    <n v="599"/>
    <n v="120"/>
    <n v="0.79"/>
    <x v="1"/>
    <x v="0"/>
    <x v="1"/>
    <x v="1"/>
    <x v="1"/>
    <x v="1"/>
    <x v="0"/>
    <x v="1"/>
    <x v="1"/>
  </r>
  <r>
    <s v="Cloud Farm Dragon Tree  (Hybrid, Pack of 5)"/>
    <n v="399"/>
    <n v="136"/>
    <n v="0.65"/>
    <x v="1"/>
    <x v="0"/>
    <x v="1"/>
    <x v="0"/>
    <x v="1"/>
    <x v="0"/>
    <x v="0"/>
    <x v="1"/>
    <x v="6"/>
  </r>
  <r>
    <s v="KAVARI ENTERPRISE Rose Plant  (Hybrid, Pack of 1)"/>
    <n v="499"/>
    <n v="155"/>
    <n v="0.68"/>
    <x v="1"/>
    <x v="0"/>
    <x v="2"/>
    <x v="1"/>
    <x v="1"/>
    <x v="0"/>
    <x v="0"/>
    <x v="1"/>
    <x v="123"/>
  </r>
  <r>
    <s v="Cloud Farm Chiku Plant  (Hybrid, Pack of 1)"/>
    <n v="199"/>
    <n v="126"/>
    <n v="0.36"/>
    <x v="1"/>
    <x v="0"/>
    <x v="1"/>
    <x v="0"/>
    <x v="1"/>
    <x v="0"/>
    <x v="0"/>
    <x v="1"/>
    <x v="6"/>
  </r>
  <r>
    <s v="greenhousestore Adenium Plant  (Hybrid, Pack of 1)"/>
    <n v="599"/>
    <n v="135"/>
    <n v="0.77"/>
    <x v="1"/>
    <x v="0"/>
    <x v="7"/>
    <x v="1"/>
    <x v="1"/>
    <x v="1"/>
    <x v="0"/>
    <x v="1"/>
    <x v="1"/>
  </r>
  <r>
    <s v="Cloud Farm Betel Leaf Plant  (Hybrid, Pack of 1)"/>
    <n v="499"/>
    <n v="127"/>
    <n v="0.74"/>
    <x v="0"/>
    <x v="0"/>
    <x v="3"/>
    <x v="0"/>
    <x v="1"/>
    <x v="0"/>
    <x v="0"/>
    <x v="1"/>
    <x v="6"/>
  </r>
  <r>
    <s v="Risenshine Adenium Plant  (Hybrid, Pack of 1)"/>
    <n v="499"/>
    <n v="127"/>
    <n v="0.74"/>
    <x v="1"/>
    <x v="0"/>
    <x v="2"/>
    <x v="0"/>
    <x v="1"/>
    <x v="0"/>
    <x v="0"/>
    <x v="1"/>
    <x v="101"/>
  </r>
  <r>
    <s v="TAWZIX Money Plant  (Hybrid, Pack of 1)"/>
    <n v="699"/>
    <n v="125"/>
    <n v="0.82"/>
    <x v="1"/>
    <x v="0"/>
    <x v="7"/>
    <x v="1"/>
    <x v="0"/>
    <x v="1"/>
    <x v="13"/>
    <x v="1"/>
    <x v="124"/>
  </r>
  <r>
    <s v="EarthAngel Snake Plant  (Hybrid, Pack of 1)"/>
    <n v="499"/>
    <n v="163"/>
    <n v="0.67"/>
    <x v="1"/>
    <x v="0"/>
    <x v="0"/>
    <x v="1"/>
    <x v="1"/>
    <x v="1"/>
    <x v="1"/>
    <x v="1"/>
    <x v="54"/>
  </r>
  <r>
    <s v="Aziz Gazi Nursery Dragon Tree  (Hybrid, Pack of 1)"/>
    <n v="399"/>
    <n v="128"/>
    <n v="0.67"/>
    <x v="1"/>
    <x v="0"/>
    <x v="1"/>
    <x v="2"/>
    <x v="0"/>
    <x v="1"/>
    <x v="0"/>
    <x v="1"/>
    <x v="125"/>
  </r>
  <r>
    <s v="Medhi Snake Plant  (Hybrid, Pack of 1)"/>
    <n v="499"/>
    <n v="139"/>
    <n v="0.72"/>
    <x v="1"/>
    <x v="0"/>
    <x v="0"/>
    <x v="0"/>
    <x v="1"/>
    <x v="1"/>
    <x v="0"/>
    <x v="1"/>
    <x v="126"/>
  </r>
  <r>
    <s v="greenhousestore Ficus Bonsai  (Hybrid, Pack of 1)"/>
    <n v="499"/>
    <n v="155"/>
    <n v="0.68"/>
    <x v="1"/>
    <x v="0"/>
    <x v="7"/>
    <x v="1"/>
    <x v="1"/>
    <x v="1"/>
    <x v="0"/>
    <x v="1"/>
    <x v="1"/>
  </r>
  <r>
    <s v="Saeedia plant hub Acanthocerous Tetragonous Mons Variegated Fairy Castle Plant  (Hybrid, Pack of 1)"/>
    <n v="2999"/>
    <n v="288"/>
    <n v="0.9"/>
    <x v="1"/>
    <x v="0"/>
    <x v="6"/>
    <x v="1"/>
    <x v="1"/>
    <x v="0"/>
    <x v="0"/>
    <x v="1"/>
    <x v="127"/>
  </r>
  <r>
    <s v="AGRAWBIC Two Layer Bamboo Plant  (Hybrid, Pack of 1)"/>
    <n v="498"/>
    <n v="180"/>
    <n v="0.63"/>
    <x v="1"/>
    <x v="0"/>
    <x v="6"/>
    <x v="0"/>
    <x v="1"/>
    <x v="1"/>
    <x v="0"/>
    <x v="1"/>
    <x v="128"/>
  </r>
  <r>
    <s v="Broken heart plant Broken Heart Plant  (Pack of 1)"/>
    <n v="299"/>
    <n v="155"/>
    <n v="0.48"/>
    <x v="1"/>
    <x v="0"/>
    <x v="9"/>
    <x v="1"/>
    <x v="1"/>
    <x v="0"/>
    <x v="0"/>
    <x v="0"/>
    <x v="129"/>
  </r>
  <r>
    <s v="Plant Paradise Rudraksha Plant  (Hybrid, Pack of 1)"/>
    <n v="299"/>
    <n v="143"/>
    <n v="0.52"/>
    <x v="0"/>
    <x v="0"/>
    <x v="1"/>
    <x v="0"/>
    <x v="1"/>
    <x v="0"/>
    <x v="0"/>
    <x v="1"/>
    <x v="130"/>
  </r>
  <r>
    <s v="Gardanglow Marsh Barbel Plant  (Hybrid, Pack of 1)"/>
    <n v="570"/>
    <n v="135"/>
    <n v="0.76"/>
    <x v="1"/>
    <x v="0"/>
    <x v="5"/>
    <x v="1"/>
    <x v="1"/>
    <x v="1"/>
    <x v="0"/>
    <x v="1"/>
    <x v="131"/>
  </r>
  <r>
    <s v="greenhousestore Baugainvillea Plant  (Hybrid, Pack of 1)"/>
    <n v="599"/>
    <n v="129"/>
    <n v="0.78"/>
    <x v="1"/>
    <x v="0"/>
    <x v="2"/>
    <x v="1"/>
    <x v="1"/>
    <x v="1"/>
    <x v="0"/>
    <x v="1"/>
    <x v="1"/>
  </r>
  <r>
    <s v="Flora Solutions Money Plant  (Hybrid, Pack of 2)"/>
    <n v="599"/>
    <n v="199"/>
    <n v="0.66"/>
    <x v="1"/>
    <x v="0"/>
    <x v="6"/>
    <x v="1"/>
    <x v="1"/>
    <x v="1"/>
    <x v="2"/>
    <x v="1"/>
    <x v="132"/>
  </r>
  <r>
    <s v="HouseOfCommon Orange Plant  (Hybrid, Pack of 1)"/>
    <n v="399"/>
    <n v="120"/>
    <n v="0.69"/>
    <x v="1"/>
    <x v="0"/>
    <x v="1"/>
    <x v="1"/>
    <x v="1"/>
    <x v="1"/>
    <x v="13"/>
    <x v="1"/>
    <x v="133"/>
  </r>
  <r>
    <s v="Real Nature Three Layer Bamboo Plant  (Hybrid, Pack of 1)"/>
    <n v="659"/>
    <n v="449"/>
    <n v="0.31"/>
    <x v="1"/>
    <x v="0"/>
    <x v="6"/>
    <x v="1"/>
    <x v="0"/>
    <x v="1"/>
    <x v="0"/>
    <x v="1"/>
    <x v="134"/>
  </r>
  <r>
    <s v="greenhousestore Star Fruit Carambola Grafted Plant  (Hybrid, Pack of 1)"/>
    <n v="499"/>
    <n v="139"/>
    <n v="0.72"/>
    <x v="0"/>
    <x v="0"/>
    <x v="1"/>
    <x v="1"/>
    <x v="1"/>
    <x v="1"/>
    <x v="0"/>
    <x v="1"/>
    <x v="1"/>
  </r>
  <r>
    <s v="Real Nature Three Layer Bamboo Plant  (Hybrid, Pack of 1)"/>
    <n v="659"/>
    <n v="449"/>
    <n v="0.31"/>
    <x v="1"/>
    <x v="0"/>
    <x v="6"/>
    <x v="1"/>
    <x v="0"/>
    <x v="1"/>
    <x v="0"/>
    <x v="1"/>
    <x v="134"/>
  </r>
  <r>
    <s v="PB honey priya plant Bottle Gourd  (Hybrid, Pack of 35)"/>
    <n v="294"/>
    <n v="113"/>
    <n v="0.61"/>
    <x v="1"/>
    <x v="0"/>
    <x v="11"/>
    <x v="0"/>
    <x v="1"/>
    <x v="0"/>
    <x v="0"/>
    <x v="1"/>
    <x v="39"/>
  </r>
  <r>
    <s v="Oxygreenplant Shahtoot/Mulberry Plant  (Hybrid, Pack of 1)"/>
    <n v="399"/>
    <n v="126"/>
    <n v="0.68"/>
    <x v="1"/>
    <x v="0"/>
    <x v="1"/>
    <x v="0"/>
    <x v="1"/>
    <x v="1"/>
    <x v="0"/>
    <x v="1"/>
    <x v="82"/>
  </r>
  <r>
    <s v="Ukanda Canna Lily Plant  (Hybrid, Pack of 1)"/>
    <n v="399"/>
    <n v="148"/>
    <n v="0.62"/>
    <x v="1"/>
    <x v="0"/>
    <x v="2"/>
    <x v="2"/>
    <x v="0"/>
    <x v="1"/>
    <x v="1"/>
    <x v="1"/>
    <x v="17"/>
  </r>
  <r>
    <s v="LaughEarth Hibiscus Plant  (Hybrid, Pack of 3)"/>
    <n v="379"/>
    <n v="134"/>
    <n v="0.64"/>
    <x v="0"/>
    <x v="0"/>
    <x v="2"/>
    <x v="0"/>
    <x v="2"/>
    <x v="0"/>
    <x v="0"/>
    <x v="1"/>
    <x v="12"/>
  </r>
  <r>
    <s v="Real Nature Lucky Bamboo Plant  (Hybrid, Pack of 1)"/>
    <n v="549"/>
    <n v="296"/>
    <n v="0.46"/>
    <x v="1"/>
    <x v="0"/>
    <x v="6"/>
    <x v="0"/>
    <x v="0"/>
    <x v="1"/>
    <x v="0"/>
    <x v="1"/>
    <x v="134"/>
  </r>
  <r>
    <s v="greenhousestore Mint Plant  (Hybrid, Pack of 1)"/>
    <n v="399"/>
    <n v="126"/>
    <n v="0.68"/>
    <x v="1"/>
    <x v="0"/>
    <x v="3"/>
    <x v="0"/>
    <x v="1"/>
    <x v="1"/>
    <x v="14"/>
    <x v="1"/>
    <x v="1"/>
  </r>
  <r>
    <s v="JESAA GREENS Money Plant, Bamboo Palm Plant  (Pack of 2)"/>
    <n v="1599"/>
    <n v="452"/>
    <n v="0.71"/>
    <x v="1"/>
    <x v="0"/>
    <x v="6"/>
    <x v="1"/>
    <x v="0"/>
    <x v="0"/>
    <x v="13"/>
    <x v="0"/>
    <x v="106"/>
  </r>
  <r>
    <s v="GREENSEE Orchid Plant  (Hybrid, Pack of 4)"/>
    <n v="359"/>
    <n v="130"/>
    <n v="0.63"/>
    <x v="0"/>
    <x v="0"/>
    <x v="2"/>
    <x v="2"/>
    <x v="1"/>
    <x v="0"/>
    <x v="7"/>
    <x v="1"/>
    <x v="135"/>
  </r>
  <r>
    <s v="Cloud Farm Betal Leaf Plant  (Hybrid, Pack of 1)"/>
    <n v="499"/>
    <n v="122"/>
    <n v="0.75"/>
    <x v="1"/>
    <x v="0"/>
    <x v="3"/>
    <x v="0"/>
    <x v="1"/>
    <x v="0"/>
    <x v="0"/>
    <x v="1"/>
    <x v="6"/>
  </r>
  <r>
    <s v="Aquinnah Betel Leaf Plant  (Hybrid, Pack of 1)"/>
    <n v="499"/>
    <n v="135"/>
    <n v="0.72"/>
    <x v="1"/>
    <x v="0"/>
    <x v="3"/>
    <x v="1"/>
    <x v="1"/>
    <x v="1"/>
    <x v="0"/>
    <x v="1"/>
    <x v="72"/>
  </r>
  <r>
    <s v="THE BHOWMICK Mango Plant  (Hybrid, Pack of 1)"/>
    <n v="299"/>
    <n v="125"/>
    <n v="0.57999999999999996"/>
    <x v="1"/>
    <x v="0"/>
    <x v="1"/>
    <x v="0"/>
    <x v="1"/>
    <x v="1"/>
    <x v="0"/>
    <x v="1"/>
    <x v="136"/>
  </r>
  <r>
    <s v="K.K.Enterprise Lemon Plant  (Hybrid, Pack of 1)"/>
    <n v="363"/>
    <n v="120"/>
    <n v="0.66"/>
    <x v="1"/>
    <x v="0"/>
    <x v="1"/>
    <x v="1"/>
    <x v="1"/>
    <x v="1"/>
    <x v="0"/>
    <x v="1"/>
    <x v="137"/>
  </r>
  <r>
    <s v="Zomoloco Adenium Plant  (Hybrid, Pack of 1)"/>
    <n v="399"/>
    <n v="199"/>
    <n v="0.5"/>
    <x v="1"/>
    <x v="0"/>
    <x v="2"/>
    <x v="0"/>
    <x v="1"/>
    <x v="0"/>
    <x v="0"/>
    <x v="1"/>
    <x v="62"/>
  </r>
  <r>
    <s v="Gaingreen Chiku Plant  (Hybrid, Pack of 1)"/>
    <n v="699"/>
    <n v="120"/>
    <n v="0.82"/>
    <x v="1"/>
    <x v="0"/>
    <x v="1"/>
    <x v="0"/>
    <x v="1"/>
    <x v="0"/>
    <x v="0"/>
    <x v="1"/>
    <x v="138"/>
  </r>
  <r>
    <s v="Kyari Money Plant  (Pack of 1)"/>
    <n v="499"/>
    <n v="121"/>
    <n v="0.75"/>
    <x v="1"/>
    <x v="0"/>
    <x v="0"/>
    <x v="2"/>
    <x v="0"/>
    <x v="0"/>
    <x v="0"/>
    <x v="0"/>
    <x v="40"/>
  </r>
  <r>
    <s v="saraswati traders ZZ Plant  (Hybrid, Pack of 1)"/>
    <n v="549"/>
    <n v="135"/>
    <n v="0.75"/>
    <x v="1"/>
    <x v="0"/>
    <x v="1"/>
    <x v="2"/>
    <x v="1"/>
    <x v="1"/>
    <x v="0"/>
    <x v="1"/>
    <x v="139"/>
  </r>
  <r>
    <s v="GROSSAMER Lotus Plant, Syngonium Bronze Maria Plant  (Pack of 40)"/>
    <n v="999"/>
    <n v="149"/>
    <n v="0.85"/>
    <x v="0"/>
    <x v="0"/>
    <x v="2"/>
    <x v="1"/>
    <x v="1"/>
    <x v="0"/>
    <x v="0"/>
    <x v="0"/>
    <x v="140"/>
  </r>
  <r>
    <s v="PlantShop Orange Plant  (Hybrid, Pack of 1)"/>
    <n v="399"/>
    <n v="118"/>
    <n v="0.7"/>
    <x v="0"/>
    <x v="0"/>
    <x v="1"/>
    <x v="1"/>
    <x v="1"/>
    <x v="0"/>
    <x v="0"/>
    <x v="1"/>
    <x v="141"/>
  </r>
  <r>
    <s v="Grinian Aloe Vera Plant  (Hybrid, Pack of 1)"/>
    <n v="599"/>
    <n v="122"/>
    <n v="0.79"/>
    <x v="1"/>
    <x v="0"/>
    <x v="3"/>
    <x v="1"/>
    <x v="1"/>
    <x v="0"/>
    <x v="0"/>
    <x v="1"/>
    <x v="33"/>
  </r>
  <r>
    <s v="greenhousestore Avocado Plant  (Hybrid, Pack of 1)"/>
    <n v="599"/>
    <n v="115"/>
    <n v="0.8"/>
    <x v="1"/>
    <x v="0"/>
    <x v="1"/>
    <x v="1"/>
    <x v="1"/>
    <x v="1"/>
    <x v="0"/>
    <x v="1"/>
    <x v="1"/>
  </r>
  <r>
    <s v="FSK Hibiscus Plant  (Hybrid, Pack of 1)"/>
    <n v="418"/>
    <n v="109"/>
    <n v="0.73"/>
    <x v="1"/>
    <x v="0"/>
    <x v="2"/>
    <x v="1"/>
    <x v="1"/>
    <x v="0"/>
    <x v="0"/>
    <x v="1"/>
    <x v="7"/>
  </r>
  <r>
    <s v="greenhousestore Rose Plant  (Hybrid, Pack of 1)"/>
    <n v="599"/>
    <n v="122"/>
    <n v="0.79"/>
    <x v="1"/>
    <x v="0"/>
    <x v="2"/>
    <x v="1"/>
    <x v="1"/>
    <x v="1"/>
    <x v="0"/>
    <x v="1"/>
    <x v="1"/>
  </r>
  <r>
    <s v="Tha live root vishnu kamal Furkeria Succulent Plant  (Hybrid, Pack of 1)"/>
    <n v="590"/>
    <n v="162"/>
    <n v="0.72"/>
    <x v="1"/>
    <x v="0"/>
    <x v="5"/>
    <x v="1"/>
    <x v="1"/>
    <x v="1"/>
    <x v="0"/>
    <x v="1"/>
    <x v="142"/>
  </r>
  <r>
    <s v="greenhousestore Rose Plant  (Hybrid, Pack of 3)"/>
    <n v="598"/>
    <n v="138"/>
    <n v="0.76"/>
    <x v="1"/>
    <x v="0"/>
    <x v="2"/>
    <x v="1"/>
    <x v="1"/>
    <x v="1"/>
    <x v="0"/>
    <x v="1"/>
    <x v="1"/>
  </r>
  <r>
    <s v="AloGardening Serissa Hedge Plant  (Hybrid, Pack of 1)"/>
    <n v="399"/>
    <n v="136"/>
    <n v="0.65"/>
    <x v="1"/>
    <x v="0"/>
    <x v="3"/>
    <x v="0"/>
    <x v="1"/>
    <x v="0"/>
    <x v="0"/>
    <x v="1"/>
    <x v="8"/>
  </r>
  <r>
    <s v="Hug A Plant Cocoa Plant  (Hybrid, Pack of 1)"/>
    <n v="799"/>
    <n v="399"/>
    <n v="0.5"/>
    <x v="1"/>
    <x v="0"/>
    <x v="1"/>
    <x v="0"/>
    <x v="1"/>
    <x v="0"/>
    <x v="0"/>
    <x v="1"/>
    <x v="53"/>
  </r>
  <r>
    <s v="My Dream Nursery Kiwi Plant  (Hybrid, Pack of 1)"/>
    <n v="259"/>
    <n v="199"/>
    <n v="0.23"/>
    <x v="1"/>
    <x v="0"/>
    <x v="1"/>
    <x v="1"/>
    <x v="1"/>
    <x v="1"/>
    <x v="0"/>
    <x v="1"/>
    <x v="91"/>
  </r>
  <r>
    <s v="greenhousestore Chiku Plant  (Hybrid, Pack of 1)"/>
    <n v="599"/>
    <n v="127"/>
    <n v="0.78"/>
    <x v="1"/>
    <x v="0"/>
    <x v="1"/>
    <x v="1"/>
    <x v="1"/>
    <x v="1"/>
    <x v="0"/>
    <x v="1"/>
    <x v="1"/>
  </r>
  <r>
    <s v="NiMoj Two Layer Bamboo Plant, Lucky Bamboo Straight Stick, Veld Grape Plant  (Hybrid, Pack of 1)"/>
    <n v="499"/>
    <n v="242"/>
    <n v="0.51"/>
    <x v="1"/>
    <x v="0"/>
    <x v="6"/>
    <x v="1"/>
    <x v="1"/>
    <x v="1"/>
    <x v="15"/>
    <x v="1"/>
    <x v="143"/>
  </r>
  <r>
    <s v="ATIKNAM Mini Brazalian wood  (Hybrid, Pack of 1)"/>
    <n v="599"/>
    <n v="128"/>
    <n v="0.78"/>
    <x v="0"/>
    <x v="0"/>
    <x v="2"/>
    <x v="1"/>
    <x v="0"/>
    <x v="0"/>
    <x v="0"/>
    <x v="1"/>
    <x v="144"/>
  </r>
  <r>
    <s v="L BRAZILIAN LUCKY WOOD PLANT Basil Plant  (Hybrid, Pack of 1)"/>
    <n v="599"/>
    <n v="134"/>
    <n v="0.77"/>
    <x v="1"/>
    <x v="0"/>
    <x v="4"/>
    <x v="0"/>
    <x v="0"/>
    <x v="0"/>
    <x v="0"/>
    <x v="1"/>
    <x v="145"/>
  </r>
  <r>
    <s v="greenhousestore Kiwi Plant  (Hybrid, Pack of 1)"/>
    <n v="599"/>
    <n v="126"/>
    <n v="0.78"/>
    <x v="1"/>
    <x v="0"/>
    <x v="1"/>
    <x v="1"/>
    <x v="1"/>
    <x v="1"/>
    <x v="0"/>
    <x v="1"/>
    <x v="1"/>
  </r>
  <r>
    <s v="UGAOO Christmas Cactus Plant  (Pack of 1)"/>
    <n v="349"/>
    <n v="199"/>
    <n v="0.42"/>
    <x v="1"/>
    <x v="0"/>
    <x v="8"/>
    <x v="1"/>
    <x v="0"/>
    <x v="0"/>
    <x v="0"/>
    <x v="0"/>
    <x v="11"/>
  </r>
  <r>
    <s v="GeenLk Golden Money Plant  (Hybrid, Pack of 1)"/>
    <n v="299"/>
    <n v="170"/>
    <n v="0.43"/>
    <x v="1"/>
    <x v="0"/>
    <x v="6"/>
    <x v="1"/>
    <x v="0"/>
    <x v="1"/>
    <x v="16"/>
    <x v="1"/>
    <x v="146"/>
  </r>
  <r>
    <s v="Elanthalir Table Palm Plant  (Hybrid, Pack of 1)"/>
    <n v="299"/>
    <n v="142"/>
    <n v="0.52"/>
    <x v="1"/>
    <x v="0"/>
    <x v="7"/>
    <x v="0"/>
    <x v="1"/>
    <x v="0"/>
    <x v="0"/>
    <x v="1"/>
    <x v="147"/>
  </r>
  <r>
    <s v="Samarthgreens Strawberry Plant  (Hybrid, Pack of 1)"/>
    <n v="600"/>
    <n v="121"/>
    <n v="0.79"/>
    <x v="1"/>
    <x v="0"/>
    <x v="1"/>
    <x v="1"/>
    <x v="1"/>
    <x v="1"/>
    <x v="0"/>
    <x v="1"/>
    <x v="59"/>
  </r>
  <r>
    <s v="SKDIYA Cherry Fruit Plant  (Hybrid, Pack of 1)"/>
    <n v="595"/>
    <n v="137"/>
    <n v="0.76"/>
    <x v="1"/>
    <x v="0"/>
    <x v="1"/>
    <x v="0"/>
    <x v="1"/>
    <x v="0"/>
    <x v="0"/>
    <x v="1"/>
    <x v="112"/>
  </r>
  <r>
    <s v="UGAOO Golden Aralia Plant  (Pack of 1)"/>
    <n v="349"/>
    <n v="199"/>
    <n v="0.42"/>
    <x v="1"/>
    <x v="0"/>
    <x v="8"/>
    <x v="1"/>
    <x v="0"/>
    <x v="0"/>
    <x v="0"/>
    <x v="0"/>
    <x v="11"/>
  </r>
  <r>
    <s v="GHF Two Layer Bamboo Plant  (Hybrid, Pack of 1)"/>
    <n v="421"/>
    <n v="171"/>
    <n v="0.59"/>
    <x v="1"/>
    <x v="0"/>
    <x v="6"/>
    <x v="1"/>
    <x v="0"/>
    <x v="1"/>
    <x v="16"/>
    <x v="1"/>
    <x v="34"/>
  </r>
  <r>
    <s v="UGAOO Jade Plant  (Hybrid, Pack of 1)"/>
    <n v="495"/>
    <n v="299"/>
    <n v="0.39"/>
    <x v="1"/>
    <x v="0"/>
    <x v="5"/>
    <x v="1"/>
    <x v="0"/>
    <x v="1"/>
    <x v="0"/>
    <x v="1"/>
    <x v="11"/>
  </r>
  <r>
    <s v="bhowmick Areca Palm  (Hybrid, Pack of 1)"/>
    <n v="599"/>
    <n v="169"/>
    <n v="0.71"/>
    <x v="0"/>
    <x v="0"/>
    <x v="9"/>
    <x v="0"/>
    <x v="1"/>
    <x v="0"/>
    <x v="0"/>
    <x v="1"/>
    <x v="109"/>
  </r>
  <r>
    <s v="Nursery Hub Jade Plant  (Pack of 6)"/>
    <n v="1533"/>
    <n v="399"/>
    <n v="0.73"/>
    <x v="1"/>
    <x v="0"/>
    <x v="2"/>
    <x v="1"/>
    <x v="1"/>
    <x v="0"/>
    <x v="0"/>
    <x v="0"/>
    <x v="148"/>
  </r>
  <r>
    <s v="UGAOO Two Layer Bamboo Plant  (Pack of 1)"/>
    <n v="399"/>
    <n v="249"/>
    <n v="0.37"/>
    <x v="1"/>
    <x v="0"/>
    <x v="6"/>
    <x v="1"/>
    <x v="0"/>
    <x v="1"/>
    <x v="0"/>
    <x v="0"/>
    <x v="11"/>
  </r>
  <r>
    <s v="AloGardening Guava Plant  (Hybrid, Pack of 1)"/>
    <n v="349"/>
    <n v="129"/>
    <n v="0.63"/>
    <x v="1"/>
    <x v="0"/>
    <x v="1"/>
    <x v="0"/>
    <x v="1"/>
    <x v="0"/>
    <x v="0"/>
    <x v="1"/>
    <x v="8"/>
  </r>
  <r>
    <s v="bhowmick Baugainvillea Plant  (Hybrid, Pack of 1)"/>
    <n v="499"/>
    <n v="134"/>
    <n v="0.73"/>
    <x v="0"/>
    <x v="0"/>
    <x v="2"/>
    <x v="0"/>
    <x v="1"/>
    <x v="0"/>
    <x v="0"/>
    <x v="1"/>
    <x v="109"/>
  </r>
  <r>
    <s v="UGAOO Three Layer Bamboo Plant  (Pack of 1)"/>
    <n v="499"/>
    <n v="349"/>
    <n v="0.3"/>
    <x v="1"/>
    <x v="0"/>
    <x v="6"/>
    <x v="2"/>
    <x v="0"/>
    <x v="1"/>
    <x v="0"/>
    <x v="0"/>
    <x v="11"/>
  </r>
  <r>
    <s v="EVY Tuberose/Rajnigandha Plant  (Hybrid, Pack of 1)"/>
    <n v="399"/>
    <n v="125"/>
    <n v="0.68"/>
    <x v="1"/>
    <x v="0"/>
    <x v="3"/>
    <x v="1"/>
    <x v="1"/>
    <x v="0"/>
    <x v="0"/>
    <x v="1"/>
    <x v="18"/>
  </r>
  <r>
    <s v="UGAOO Philodendron Micans Plant  (Pack of 1)"/>
    <n v="449"/>
    <n v="329"/>
    <n v="0.26"/>
    <x v="1"/>
    <x v="0"/>
    <x v="0"/>
    <x v="2"/>
    <x v="0"/>
    <x v="0"/>
    <x v="0"/>
    <x v="0"/>
    <x v="11"/>
  </r>
  <r>
    <s v="LaughEarth Parijat/Harsingar Plant  (Hybrid, Pack of 1)"/>
    <n v="499"/>
    <n v="123"/>
    <n v="0.75"/>
    <x v="1"/>
    <x v="0"/>
    <x v="3"/>
    <x v="1"/>
    <x v="1"/>
    <x v="0"/>
    <x v="0"/>
    <x v="1"/>
    <x v="12"/>
  </r>
  <r>
    <s v="Green view Coconut Plant  (Hybrid, Pack of 1)"/>
    <n v="449"/>
    <n v="271"/>
    <n v="0.39"/>
    <x v="1"/>
    <x v="0"/>
    <x v="1"/>
    <x v="0"/>
    <x v="1"/>
    <x v="0"/>
    <x v="0"/>
    <x v="1"/>
    <x v="113"/>
  </r>
  <r>
    <s v="UGAOO Philodendron Brasil Plant  (Pack of 1)"/>
    <n v="449"/>
    <n v="299"/>
    <n v="0.33"/>
    <x v="1"/>
    <x v="0"/>
    <x v="0"/>
    <x v="1"/>
    <x v="0"/>
    <x v="0"/>
    <x v="0"/>
    <x v="0"/>
    <x v="11"/>
  </r>
  <r>
    <s v="UGAOO Philodendron Brasil Plant  (Pack of 1)"/>
    <n v="449"/>
    <n v="299"/>
    <n v="0.33"/>
    <x v="1"/>
    <x v="0"/>
    <x v="0"/>
    <x v="1"/>
    <x v="0"/>
    <x v="0"/>
    <x v="0"/>
    <x v="0"/>
    <x v="11"/>
  </r>
  <r>
    <s v="Unisam Laxmi Lakshmi Kamal Laxmi Kamal Plant  (Hybrid, Pack of 1)"/>
    <n v="396"/>
    <n v="177"/>
    <n v="0.55000000000000004"/>
    <x v="1"/>
    <x v="0"/>
    <x v="5"/>
    <x v="0"/>
    <x v="1"/>
    <x v="1"/>
    <x v="0"/>
    <x v="1"/>
    <x v="149"/>
  </r>
  <r>
    <s v="AloGardening Adenium Plant  (Hybrid, Pack of 6)"/>
    <n v="789"/>
    <n v="268"/>
    <n v="0.66"/>
    <x v="1"/>
    <x v="0"/>
    <x v="2"/>
    <x v="0"/>
    <x v="1"/>
    <x v="0"/>
    <x v="0"/>
    <x v="1"/>
    <x v="8"/>
  </r>
  <r>
    <s v="Heaven Of Saplings Bacopa Monnieri  (Hybrid, Pack of 1)"/>
    <n v="299"/>
    <n v="135"/>
    <n v="0.54"/>
    <x v="1"/>
    <x v="0"/>
    <x v="3"/>
    <x v="0"/>
    <x v="1"/>
    <x v="1"/>
    <x v="14"/>
    <x v="1"/>
    <x v="77"/>
  </r>
  <r>
    <s v="Cloud Farm Hibiscus Plant  (Hybrid, Pack of 4)"/>
    <n v="499"/>
    <n v="165"/>
    <n v="0.66"/>
    <x v="1"/>
    <x v="0"/>
    <x v="2"/>
    <x v="0"/>
    <x v="1"/>
    <x v="0"/>
    <x v="0"/>
    <x v="1"/>
    <x v="6"/>
  </r>
  <r>
    <s v="UGAOO Philodendron Brasil Plant  (Pack of 1)"/>
    <n v="555"/>
    <n v="329"/>
    <n v="0.4"/>
    <x v="1"/>
    <x v="0"/>
    <x v="0"/>
    <x v="2"/>
    <x v="0"/>
    <x v="0"/>
    <x v="0"/>
    <x v="0"/>
    <x v="11"/>
  </r>
  <r>
    <s v="UGAOO Philodendron Plant  (Pack of 1)"/>
    <n v="449"/>
    <n v="329"/>
    <n v="0.26"/>
    <x v="1"/>
    <x v="0"/>
    <x v="0"/>
    <x v="2"/>
    <x v="0"/>
    <x v="0"/>
    <x v="0"/>
    <x v="0"/>
    <x v="11"/>
  </r>
  <r>
    <s v="AloGardening Dragon Tree  (Hybrid, Pack of 3)"/>
    <n v="399"/>
    <n v="133"/>
    <n v="0.66"/>
    <x v="1"/>
    <x v="0"/>
    <x v="1"/>
    <x v="0"/>
    <x v="1"/>
    <x v="0"/>
    <x v="0"/>
    <x v="1"/>
    <x v="8"/>
  </r>
  <r>
    <s v="Green view Coconut Plant  (Hybrid, Pack of 1)"/>
    <n v="419"/>
    <n v="289"/>
    <n v="0.31"/>
    <x v="1"/>
    <x v="0"/>
    <x v="1"/>
    <x v="0"/>
    <x v="1"/>
    <x v="0"/>
    <x v="0"/>
    <x v="1"/>
    <x v="113"/>
  </r>
  <r>
    <s v="UGAOO Green Philodendron Oxycardium Plant  (Pack of 1)"/>
    <n v="595"/>
    <n v="299"/>
    <n v="0.49"/>
    <x v="1"/>
    <x v="0"/>
    <x v="0"/>
    <x v="2"/>
    <x v="0"/>
    <x v="0"/>
    <x v="0"/>
    <x v="0"/>
    <x v="11"/>
  </r>
  <r>
    <s v="UGAOO Green Philodendron Oxycardium Plant  (Pack of 1)"/>
    <n v="449"/>
    <n v="299"/>
    <n v="0.33"/>
    <x v="1"/>
    <x v="0"/>
    <x v="0"/>
    <x v="2"/>
    <x v="0"/>
    <x v="0"/>
    <x v="0"/>
    <x v="0"/>
    <x v="11"/>
  </r>
  <r>
    <s v="HARIGURU All Spice Plant  (Hybrid, Pack of 1)"/>
    <n v="449"/>
    <n v="179"/>
    <n v="0.6"/>
    <x v="0"/>
    <x v="0"/>
    <x v="3"/>
    <x v="1"/>
    <x v="1"/>
    <x v="0"/>
    <x v="1"/>
    <x v="1"/>
    <x v="26"/>
  </r>
  <r>
    <s v="UGAOO Njoy Money Plant  (Pack of 1)"/>
    <n v="349"/>
    <n v="199"/>
    <n v="0.42"/>
    <x v="1"/>
    <x v="0"/>
    <x v="10"/>
    <x v="1"/>
    <x v="0"/>
    <x v="0"/>
    <x v="0"/>
    <x v="0"/>
    <x v="11"/>
  </r>
  <r>
    <s v="Green view Coconut Plant  (Hybrid, Pack of 1)"/>
    <n v="425"/>
    <n v="275"/>
    <n v="0.35"/>
    <x v="1"/>
    <x v="0"/>
    <x v="1"/>
    <x v="0"/>
    <x v="1"/>
    <x v="0"/>
    <x v="0"/>
    <x v="1"/>
    <x v="113"/>
  </r>
  <r>
    <s v="UGAOO Snake Plant  (Pack of 1)"/>
    <n v="499"/>
    <n v="249"/>
    <n v="0.5"/>
    <x v="1"/>
    <x v="0"/>
    <x v="8"/>
    <x v="1"/>
    <x v="0"/>
    <x v="0"/>
    <x v="0"/>
    <x v="0"/>
    <x v="11"/>
  </r>
  <r>
    <s v="UGAOO Green Philodendron Oxycardium Plant  (Pack of 1)"/>
    <n v="449"/>
    <n v="299"/>
    <n v="0.33"/>
    <x v="1"/>
    <x v="0"/>
    <x v="0"/>
    <x v="2"/>
    <x v="0"/>
    <x v="0"/>
    <x v="0"/>
    <x v="0"/>
    <x v="11"/>
  </r>
  <r>
    <s v="plantsNpetals Three Layer Bamboo Plant  (Hybrid, Pack of 1)"/>
    <n v="999"/>
    <n v="379"/>
    <n v="0.62"/>
    <x v="0"/>
    <x v="0"/>
    <x v="6"/>
    <x v="1"/>
    <x v="1"/>
    <x v="1"/>
    <x v="13"/>
    <x v="1"/>
    <x v="150"/>
  </r>
  <r>
    <s v="UGAOO Syngonium Plant  (Pack of 1)"/>
    <n v="399"/>
    <n v="199"/>
    <n v="0.5"/>
    <x v="1"/>
    <x v="0"/>
    <x v="0"/>
    <x v="1"/>
    <x v="0"/>
    <x v="1"/>
    <x v="0"/>
    <x v="0"/>
    <x v="11"/>
  </r>
  <r>
    <s v="UGAOO Broken Heart Plant  (Pack of 1)"/>
    <n v="349"/>
    <n v="199"/>
    <n v="0.42"/>
    <x v="1"/>
    <x v="0"/>
    <x v="0"/>
    <x v="1"/>
    <x v="0"/>
    <x v="0"/>
    <x v="0"/>
    <x v="0"/>
    <x v="11"/>
  </r>
  <r>
    <s v="Green view Coconut Plant  (Hybrid, Pack of 1)"/>
    <n v="625"/>
    <n v="298"/>
    <n v="0.52"/>
    <x v="1"/>
    <x v="0"/>
    <x v="1"/>
    <x v="0"/>
    <x v="1"/>
    <x v="0"/>
    <x v="0"/>
    <x v="1"/>
    <x v="113"/>
  </r>
  <r>
    <s v="UGAOO Jade Plant  (Pack of 1)"/>
    <n v="349"/>
    <n v="199"/>
    <n v="0.42"/>
    <x v="1"/>
    <x v="0"/>
    <x v="5"/>
    <x v="1"/>
    <x v="0"/>
    <x v="0"/>
    <x v="0"/>
    <x v="0"/>
    <x v="11"/>
  </r>
  <r>
    <s v="TAYAN Bamboo Palm Plant  (Pack of 1)"/>
    <n v="599"/>
    <n v="299"/>
    <n v="0.5"/>
    <x v="1"/>
    <x v="0"/>
    <x v="8"/>
    <x v="1"/>
    <x v="0"/>
    <x v="0"/>
    <x v="0"/>
    <x v="0"/>
    <x v="151"/>
  </r>
  <r>
    <s v="Real Nature Two Layer Bamboo Plant  (Pack of 1)"/>
    <n v="699"/>
    <n v="290"/>
    <n v="0.57999999999999996"/>
    <x v="1"/>
    <x v="0"/>
    <x v="6"/>
    <x v="1"/>
    <x v="0"/>
    <x v="1"/>
    <x v="19"/>
    <x v="0"/>
    <x v="134"/>
  </r>
  <r>
    <s v="GIRISHA TRADERS Two Layer Bamboo Plant, Lucky Bamboo Straight Stick, Dracaena Plant  (Pack of 1)"/>
    <n v="599"/>
    <n v="229"/>
    <n v="0.61"/>
    <x v="1"/>
    <x v="0"/>
    <x v="6"/>
    <x v="1"/>
    <x v="0"/>
    <x v="1"/>
    <x v="13"/>
    <x v="0"/>
    <x v="152"/>
  </r>
  <r>
    <s v="UGAOO Peace Lily Plant  (Pack of 1)"/>
    <n v="349"/>
    <n v="199"/>
    <n v="0.42"/>
    <x v="1"/>
    <x v="0"/>
    <x v="5"/>
    <x v="1"/>
    <x v="0"/>
    <x v="0"/>
    <x v="0"/>
    <x v="0"/>
    <x v="11"/>
  </r>
  <r>
    <s v="plantsNpetals Two Layer Bamboo Plant  (Hybrid, Pack of 1)"/>
    <n v="999"/>
    <n v="399"/>
    <n v="0.6"/>
    <x v="0"/>
    <x v="0"/>
    <x v="6"/>
    <x v="1"/>
    <x v="1"/>
    <x v="1"/>
    <x v="13"/>
    <x v="1"/>
    <x v="150"/>
  </r>
  <r>
    <s v="RJGUDDU Mini Brazalian wood  (Hybrid, Pack of 1)"/>
    <n v="699"/>
    <n v="279"/>
    <n v="0.6"/>
    <x v="1"/>
    <x v="0"/>
    <x v="6"/>
    <x v="1"/>
    <x v="0"/>
    <x v="1"/>
    <x v="13"/>
    <x v="1"/>
    <x v="1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6">
  <location ref="A3:B7" firstHeaderRow="1" firstDataRow="1" firstDataCol="1"/>
  <pivotFields count="13">
    <pivotField dataField="1" showAll="0"/>
    <pivotField numFmtId="2" showAll="0"/>
    <pivotField numFmtId="164" showAll="0"/>
    <pivotField numFmtId="9" showAll="0"/>
    <pivotField axis="axisRow" showAll="0">
      <items count="4">
        <item x="2"/>
        <item x="0"/>
        <item x="1"/>
        <item t="default"/>
      </items>
    </pivotField>
    <pivotField showAll="0"/>
    <pivotField showAll="0"/>
    <pivotField showAll="0"/>
    <pivotField showAll="0"/>
    <pivotField showAll="0"/>
    <pivotField numFmtId="2" showAll="0"/>
    <pivotField showAll="0"/>
    <pivotField showAll="0"/>
  </pivotFields>
  <rowFields count="1">
    <field x="4"/>
  </rowFields>
  <rowItems count="4">
    <i>
      <x/>
    </i>
    <i>
      <x v="1"/>
    </i>
    <i>
      <x v="2"/>
    </i>
    <i t="grand">
      <x/>
    </i>
  </rowItems>
  <colItems count="1">
    <i/>
  </colItems>
  <dataFields count="1">
    <dataField name="Count of name" fld="0" subtotal="count" baseField="0" baseItem="0"/>
  </dataFields>
  <chartFormats count="5">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1"/>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4">
  <location ref="A3:B5" firstHeaderRow="1" firstDataRow="1" firstDataCol="1"/>
  <pivotFields count="13">
    <pivotField dataField="1" showAll="0"/>
    <pivotField numFmtId="2" showAll="0"/>
    <pivotField numFmtId="164" showAll="0"/>
    <pivotField numFmtId="9" showAll="0"/>
    <pivotField showAll="0"/>
    <pivotField axis="axisRow" showAll="0">
      <items count="2">
        <item x="0"/>
        <item t="default"/>
      </items>
    </pivotField>
    <pivotField showAll="0"/>
    <pivotField showAll="0"/>
    <pivotField showAll="0"/>
    <pivotField showAll="0"/>
    <pivotField numFmtId="2" showAll="0"/>
    <pivotField showAll="0"/>
    <pivotField showAll="0"/>
  </pivotFields>
  <rowFields count="1">
    <field x="5"/>
  </rowFields>
  <rowItems count="2">
    <i>
      <x/>
    </i>
    <i t="grand">
      <x/>
    </i>
  </rowItems>
  <colItems count="1">
    <i/>
  </colItems>
  <dataFields count="1">
    <dataField name="Count of name"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16" firstHeaderRow="1" firstDataRow="1" firstDataCol="1"/>
  <pivotFields count="13">
    <pivotField dataField="1" showAll="0"/>
    <pivotField numFmtId="2" showAll="0"/>
    <pivotField numFmtId="164" showAll="0"/>
    <pivotField numFmtId="9" showAll="0"/>
    <pivotField showAll="0"/>
    <pivotField showAll="0"/>
    <pivotField axis="axisRow" showAll="0">
      <items count="13">
        <item x="4"/>
        <item x="6"/>
        <item x="7"/>
        <item x="10"/>
        <item x="2"/>
        <item x="0"/>
        <item x="1"/>
        <item x="3"/>
        <item x="8"/>
        <item x="5"/>
        <item x="9"/>
        <item x="11"/>
        <item t="default"/>
      </items>
    </pivotField>
    <pivotField showAll="0"/>
    <pivotField showAll="0"/>
    <pivotField showAll="0"/>
    <pivotField numFmtId="2"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Count of name" fld="0" subtotal="count" baseField="0" baseItem="0"/>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5"/>
          </reference>
        </references>
      </pivotArea>
    </chartFormat>
    <chartFormat chart="0" format="6">
      <pivotArea type="data" outline="0" fieldPosition="0">
        <references count="2">
          <reference field="4294967294" count="1" selected="0">
            <x v="0"/>
          </reference>
          <reference field="6" count="1" selected="0">
            <x v="3"/>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9"/>
          </reference>
        </references>
      </pivotArea>
    </chartFormat>
    <chartFormat chart="0" format="11">
      <pivotArea type="data" outline="0" fieldPosition="0">
        <references count="2">
          <reference field="4294967294" count="1" selected="0">
            <x v="0"/>
          </reference>
          <reference field="6" count="1" selected="0">
            <x v="10"/>
          </reference>
        </references>
      </pivotArea>
    </chartFormat>
    <chartFormat chart="0" format="12">
      <pivotArea type="data" outline="0" fieldPosition="0">
        <references count="2">
          <reference field="4294967294" count="1" selected="0">
            <x v="0"/>
          </reference>
          <reference field="6" count="1" selected="0">
            <x v="11"/>
          </reference>
        </references>
      </pivotArea>
    </chartFormat>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6" count="1" selected="0">
            <x v="0"/>
          </reference>
        </references>
      </pivotArea>
    </chartFormat>
    <chartFormat chart="2" format="28">
      <pivotArea type="data" outline="0" fieldPosition="0">
        <references count="2">
          <reference field="4294967294" count="1" selected="0">
            <x v="0"/>
          </reference>
          <reference field="6" count="1" selected="0">
            <x v="1"/>
          </reference>
        </references>
      </pivotArea>
    </chartFormat>
    <chartFormat chart="2" format="29">
      <pivotArea type="data" outline="0" fieldPosition="0">
        <references count="2">
          <reference field="4294967294" count="1" selected="0">
            <x v="0"/>
          </reference>
          <reference field="6" count="1" selected="0">
            <x v="2"/>
          </reference>
        </references>
      </pivotArea>
    </chartFormat>
    <chartFormat chart="2" format="30">
      <pivotArea type="data" outline="0" fieldPosition="0">
        <references count="2">
          <reference field="4294967294" count="1" selected="0">
            <x v="0"/>
          </reference>
          <reference field="6" count="1" selected="0">
            <x v="3"/>
          </reference>
        </references>
      </pivotArea>
    </chartFormat>
    <chartFormat chart="2" format="31">
      <pivotArea type="data" outline="0" fieldPosition="0">
        <references count="2">
          <reference field="4294967294" count="1" selected="0">
            <x v="0"/>
          </reference>
          <reference field="6" count="1" selected="0">
            <x v="4"/>
          </reference>
        </references>
      </pivotArea>
    </chartFormat>
    <chartFormat chart="2" format="32">
      <pivotArea type="data" outline="0" fieldPosition="0">
        <references count="2">
          <reference field="4294967294" count="1" selected="0">
            <x v="0"/>
          </reference>
          <reference field="6" count="1" selected="0">
            <x v="5"/>
          </reference>
        </references>
      </pivotArea>
    </chartFormat>
    <chartFormat chart="2" format="33">
      <pivotArea type="data" outline="0" fieldPosition="0">
        <references count="2">
          <reference field="4294967294" count="1" selected="0">
            <x v="0"/>
          </reference>
          <reference field="6" count="1" selected="0">
            <x v="6"/>
          </reference>
        </references>
      </pivotArea>
    </chartFormat>
    <chartFormat chart="2" format="34">
      <pivotArea type="data" outline="0" fieldPosition="0">
        <references count="2">
          <reference field="4294967294" count="1" selected="0">
            <x v="0"/>
          </reference>
          <reference field="6" count="1" selected="0">
            <x v="7"/>
          </reference>
        </references>
      </pivotArea>
    </chartFormat>
    <chartFormat chart="2" format="35">
      <pivotArea type="data" outline="0" fieldPosition="0">
        <references count="2">
          <reference field="4294967294" count="1" selected="0">
            <x v="0"/>
          </reference>
          <reference field="6" count="1" selected="0">
            <x v="8"/>
          </reference>
        </references>
      </pivotArea>
    </chartFormat>
    <chartFormat chart="2" format="36">
      <pivotArea type="data" outline="0" fieldPosition="0">
        <references count="2">
          <reference field="4294967294" count="1" selected="0">
            <x v="0"/>
          </reference>
          <reference field="6" count="1" selected="0">
            <x v="9"/>
          </reference>
        </references>
      </pivotArea>
    </chartFormat>
    <chartFormat chart="2" format="37">
      <pivotArea type="data" outline="0" fieldPosition="0">
        <references count="2">
          <reference field="4294967294" count="1" selected="0">
            <x v="0"/>
          </reference>
          <reference field="6" count="1" selected="0">
            <x v="10"/>
          </reference>
        </references>
      </pivotArea>
    </chartFormat>
    <chartFormat chart="2" format="38">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7" firstHeaderRow="1" firstDataRow="1" firstDataCol="1"/>
  <pivotFields count="13">
    <pivotField dataField="1" showAll="0"/>
    <pivotField numFmtId="2" showAll="0"/>
    <pivotField numFmtId="164" showAll="0"/>
    <pivotField numFmtId="9" showAll="0"/>
    <pivotField showAll="0"/>
    <pivotField showAll="0"/>
    <pivotField showAll="0"/>
    <pivotField axis="axisRow" showAll="0">
      <items count="4">
        <item x="1"/>
        <item x="2"/>
        <item x="0"/>
        <item t="default"/>
      </items>
    </pivotField>
    <pivotField showAll="0"/>
    <pivotField showAll="0"/>
    <pivotField numFmtId="2" showAll="0"/>
    <pivotField showAll="0"/>
    <pivotField showAll="0"/>
  </pivotFields>
  <rowFields count="1">
    <field x="7"/>
  </rowFields>
  <rowItems count="4">
    <i>
      <x/>
    </i>
    <i>
      <x v="1"/>
    </i>
    <i>
      <x v="2"/>
    </i>
    <i t="grand">
      <x/>
    </i>
  </rowItems>
  <colItems count="1">
    <i/>
  </colItems>
  <dataFields count="1">
    <dataField name="Count of name"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7">
  <location ref="A3:B7" firstHeaderRow="1" firstDataRow="1" firstDataCol="1"/>
  <pivotFields count="13">
    <pivotField dataField="1" showAll="0"/>
    <pivotField numFmtId="2" showAll="0"/>
    <pivotField numFmtId="164" showAll="0"/>
    <pivotField numFmtId="9" showAll="0"/>
    <pivotField showAll="0"/>
    <pivotField showAll="0"/>
    <pivotField showAll="0"/>
    <pivotField showAll="0"/>
    <pivotField axis="axisRow" showAll="0">
      <items count="4">
        <item x="1"/>
        <item x="0"/>
        <item x="2"/>
        <item t="default"/>
      </items>
    </pivotField>
    <pivotField showAll="0"/>
    <pivotField numFmtId="2" showAll="0"/>
    <pivotField showAll="0"/>
    <pivotField showAll="0"/>
  </pivotFields>
  <rowFields count="1">
    <field x="8"/>
  </rowFields>
  <rowItems count="4">
    <i>
      <x/>
    </i>
    <i>
      <x v="1"/>
    </i>
    <i>
      <x v="2"/>
    </i>
    <i t="grand">
      <x/>
    </i>
  </rowItems>
  <colItems count="1">
    <i/>
  </colItems>
  <dataFields count="1">
    <dataField name="Count of name" fld="0"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2"/>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6"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A3:B6" firstHeaderRow="1" firstDataRow="1" firstDataCol="1"/>
  <pivotFields count="13">
    <pivotField dataField="1" showAll="0"/>
    <pivotField numFmtId="2" showAll="0"/>
    <pivotField numFmtId="164" showAll="0"/>
    <pivotField numFmtId="9" showAll="0"/>
    <pivotField showAll="0"/>
    <pivotField showAll="0"/>
    <pivotField showAll="0"/>
    <pivotField showAll="0"/>
    <pivotField showAll="0"/>
    <pivotField axis="axisRow" showAll="0">
      <items count="3">
        <item x="0"/>
        <item x="1"/>
        <item t="default"/>
      </items>
    </pivotField>
    <pivotField numFmtId="2" showAll="0"/>
    <pivotField showAll="0">
      <items count="3">
        <item x="0"/>
        <item x="1"/>
        <item t="default"/>
      </items>
    </pivotField>
    <pivotField showAll="0"/>
  </pivotFields>
  <rowFields count="1">
    <field x="9"/>
  </rowFields>
  <rowItems count="3">
    <i>
      <x/>
    </i>
    <i>
      <x v="1"/>
    </i>
    <i t="grand">
      <x/>
    </i>
  </rowItems>
  <colItems count="1">
    <i/>
  </colItems>
  <dataFields count="1">
    <dataField name="Count of name"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7"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6" firstHeaderRow="1" firstDataRow="1" firstDataCol="1"/>
  <pivotFields count="13">
    <pivotField showAll="0"/>
    <pivotField numFmtId="2" showAll="0"/>
    <pivotField numFmtId="164" showAll="0"/>
    <pivotField numFmtId="9" showAll="0"/>
    <pivotField showAll="0"/>
    <pivotField showAll="0"/>
    <pivotField showAll="0"/>
    <pivotField showAll="0"/>
    <pivotField showAll="0"/>
    <pivotField showAll="0"/>
    <pivotField numFmtId="2" showAll="0"/>
    <pivotField axis="axisRow" showAll="0">
      <items count="3">
        <item x="0"/>
        <item x="1"/>
        <item t="default"/>
      </items>
    </pivotField>
    <pivotField dataField="1" showAll="0"/>
  </pivotFields>
  <rowFields count="1">
    <field x="11"/>
  </rowFields>
  <rowItems count="3">
    <i>
      <x/>
    </i>
    <i>
      <x v="1"/>
    </i>
    <i t="grand">
      <x/>
    </i>
  </rowItems>
  <colItems count="1">
    <i/>
  </colItems>
  <dataFields count="1">
    <dataField name="Count of brand" fld="1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8"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A3:B15" firstHeaderRow="1" firstDataRow="1" firstDataCol="1"/>
  <pivotFields count="13">
    <pivotField dataField="1" showAll="0"/>
    <pivotField numFmtId="2" showAll="0"/>
    <pivotField numFmtId="164" showAll="0"/>
    <pivotField numFmtId="9" showAll="0"/>
    <pivotField showAll="0"/>
    <pivotField showAll="0"/>
    <pivotField showAll="0"/>
    <pivotField showAll="0"/>
    <pivotField showAll="0"/>
    <pivotField showAll="0"/>
    <pivotField numFmtId="2" showAll="0"/>
    <pivotField showAll="0"/>
    <pivotField axis="axisRow" showAll="0" measureFilter="1">
      <items count="155">
        <item x="68"/>
        <item x="71"/>
        <item x="48"/>
        <item x="73"/>
        <item x="128"/>
        <item x="102"/>
        <item x="8"/>
        <item x="72"/>
        <item x="5"/>
        <item x="30"/>
        <item x="13"/>
        <item x="47"/>
        <item x="144"/>
        <item x="22"/>
        <item x="108"/>
        <item x="125"/>
        <item x="46"/>
        <item x="109"/>
        <item x="15"/>
        <item x="96"/>
        <item x="129"/>
        <item x="52"/>
        <item x="41"/>
        <item x="6"/>
        <item x="20"/>
        <item x="79"/>
        <item x="54"/>
        <item x="61"/>
        <item x="147"/>
        <item x="74"/>
        <item x="18"/>
        <item x="85"/>
        <item x="42"/>
        <item x="132"/>
        <item x="7"/>
        <item x="3"/>
        <item x="21"/>
        <item x="63"/>
        <item x="138"/>
        <item x="131"/>
        <item x="146"/>
        <item x="45"/>
        <item x="34"/>
        <item x="152"/>
        <item x="4"/>
        <item x="100"/>
        <item x="113"/>
        <item x="51"/>
        <item x="38"/>
        <item x="49"/>
        <item x="19"/>
        <item x="1"/>
        <item x="135"/>
        <item x="33"/>
        <item x="140"/>
        <item x="90"/>
        <item x="26"/>
        <item x="35"/>
        <item x="77"/>
        <item x="32"/>
        <item x="133"/>
        <item x="53"/>
        <item x="16"/>
        <item x="58"/>
        <item x="84"/>
        <item x="83"/>
        <item x="106"/>
        <item x="70"/>
        <item x="137"/>
        <item x="123"/>
        <item x="99"/>
        <item x="55"/>
        <item x="40"/>
        <item x="145"/>
        <item x="12"/>
        <item x="103"/>
        <item x="122"/>
        <item x="29"/>
        <item x="81"/>
        <item x="107"/>
        <item x="31"/>
        <item x="95"/>
        <item x="69"/>
        <item x="126"/>
        <item x="104"/>
        <item x="80"/>
        <item x="36"/>
        <item x="110"/>
        <item x="9"/>
        <item x="91"/>
        <item x="23"/>
        <item x="121"/>
        <item x="75"/>
        <item x="76"/>
        <item x="143"/>
        <item x="148"/>
        <item x="82"/>
        <item x="10"/>
        <item x="39"/>
        <item x="57"/>
        <item x="60"/>
        <item x="78"/>
        <item x="24"/>
        <item x="118"/>
        <item x="130"/>
        <item x="120"/>
        <item x="114"/>
        <item x="14"/>
        <item x="141"/>
        <item x="97"/>
        <item x="43"/>
        <item x="150"/>
        <item x="27"/>
        <item x="0"/>
        <item x="89"/>
        <item x="134"/>
        <item x="37"/>
        <item x="101"/>
        <item x="153"/>
        <item x="64"/>
        <item x="93"/>
        <item x="50"/>
        <item x="2"/>
        <item x="111"/>
        <item x="127"/>
        <item x="59"/>
        <item x="115"/>
        <item x="139"/>
        <item x="67"/>
        <item x="112"/>
        <item x="44"/>
        <item x="116"/>
        <item x="124"/>
        <item x="151"/>
        <item x="94"/>
        <item x="66"/>
        <item x="142"/>
        <item x="136"/>
        <item x="88"/>
        <item x="105"/>
        <item x="98"/>
        <item x="25"/>
        <item x="11"/>
        <item x="117"/>
        <item x="17"/>
        <item x="92"/>
        <item x="149"/>
        <item x="86"/>
        <item x="65"/>
        <item x="87"/>
        <item x="56"/>
        <item x="119"/>
        <item x="62"/>
        <item x="28"/>
        <item t="default"/>
      </items>
    </pivotField>
  </pivotFields>
  <rowFields count="1">
    <field x="12"/>
  </rowFields>
  <rowItems count="12">
    <i>
      <x v="6"/>
    </i>
    <i>
      <x v="9"/>
    </i>
    <i>
      <x v="23"/>
    </i>
    <i>
      <x v="30"/>
    </i>
    <i>
      <x v="34"/>
    </i>
    <i>
      <x v="46"/>
    </i>
    <i>
      <x v="51"/>
    </i>
    <i>
      <x v="74"/>
    </i>
    <i>
      <x v="112"/>
    </i>
    <i>
      <x v="142"/>
    </i>
    <i>
      <x v="144"/>
    </i>
    <i t="grand">
      <x/>
    </i>
  </rowItems>
  <colItems count="1">
    <i/>
  </colItems>
  <dataFields count="1">
    <dataField name="Count of name" fld="0" subtotal="count" baseField="0" baseItem="0"/>
  </dataFields>
  <chartFormats count="2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23"/>
          </reference>
        </references>
      </pivotArea>
    </chartFormat>
    <chartFormat chart="2" format="2">
      <pivotArea type="data" outline="0" fieldPosition="0">
        <references count="2">
          <reference field="4294967294" count="1" selected="0">
            <x v="0"/>
          </reference>
          <reference field="12" count="1" selected="0">
            <x v="6"/>
          </reference>
        </references>
      </pivotArea>
    </chartFormat>
    <chartFormat chart="2" format="3">
      <pivotArea type="data" outline="0" fieldPosition="0">
        <references count="2">
          <reference field="4294967294" count="1" selected="0">
            <x v="0"/>
          </reference>
          <reference field="12" count="1" selected="0">
            <x v="9"/>
          </reference>
        </references>
      </pivotArea>
    </chartFormat>
    <chartFormat chart="2" format="4">
      <pivotArea type="data" outline="0" fieldPosition="0">
        <references count="2">
          <reference field="4294967294" count="1" selected="0">
            <x v="0"/>
          </reference>
          <reference field="12" count="1" selected="0">
            <x v="30"/>
          </reference>
        </references>
      </pivotArea>
    </chartFormat>
    <chartFormat chart="2" format="5">
      <pivotArea type="data" outline="0" fieldPosition="0">
        <references count="2">
          <reference field="4294967294" count="1" selected="0">
            <x v="0"/>
          </reference>
          <reference field="12" count="1" selected="0">
            <x v="34"/>
          </reference>
        </references>
      </pivotArea>
    </chartFormat>
    <chartFormat chart="2" format="6">
      <pivotArea type="data" outline="0" fieldPosition="0">
        <references count="2">
          <reference field="4294967294" count="1" selected="0">
            <x v="0"/>
          </reference>
          <reference field="12" count="1" selected="0">
            <x v="46"/>
          </reference>
        </references>
      </pivotArea>
    </chartFormat>
    <chartFormat chart="2" format="7">
      <pivotArea type="data" outline="0" fieldPosition="0">
        <references count="2">
          <reference field="4294967294" count="1" selected="0">
            <x v="0"/>
          </reference>
          <reference field="12" count="1" selected="0">
            <x v="51"/>
          </reference>
        </references>
      </pivotArea>
    </chartFormat>
    <chartFormat chart="2" format="8">
      <pivotArea type="data" outline="0" fieldPosition="0">
        <references count="2">
          <reference field="4294967294" count="1" selected="0">
            <x v="0"/>
          </reference>
          <reference field="12" count="1" selected="0">
            <x v="74"/>
          </reference>
        </references>
      </pivotArea>
    </chartFormat>
    <chartFormat chart="2" format="9">
      <pivotArea type="data" outline="0" fieldPosition="0">
        <references count="2">
          <reference field="4294967294" count="1" selected="0">
            <x v="0"/>
          </reference>
          <reference field="12" count="1" selected="0">
            <x v="112"/>
          </reference>
        </references>
      </pivotArea>
    </chartFormat>
    <chartFormat chart="2" format="10">
      <pivotArea type="data" outline="0" fieldPosition="0">
        <references count="2">
          <reference field="4294967294" count="1" selected="0">
            <x v="0"/>
          </reference>
          <reference field="12" count="1" selected="0">
            <x v="142"/>
          </reference>
        </references>
      </pivotArea>
    </chartFormat>
    <chartFormat chart="2" format="11">
      <pivotArea type="data" outline="0" fieldPosition="0">
        <references count="2">
          <reference field="4294967294" count="1" selected="0">
            <x v="0"/>
          </reference>
          <reference field="12" count="1" selected="0">
            <x v="144"/>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2" count="1" selected="0">
            <x v="6"/>
          </reference>
        </references>
      </pivotArea>
    </chartFormat>
    <chartFormat chart="4" format="26">
      <pivotArea type="data" outline="0" fieldPosition="0">
        <references count="2">
          <reference field="4294967294" count="1" selected="0">
            <x v="0"/>
          </reference>
          <reference field="12" count="1" selected="0">
            <x v="9"/>
          </reference>
        </references>
      </pivotArea>
    </chartFormat>
    <chartFormat chart="4" format="27">
      <pivotArea type="data" outline="0" fieldPosition="0">
        <references count="2">
          <reference field="4294967294" count="1" selected="0">
            <x v="0"/>
          </reference>
          <reference field="12" count="1" selected="0">
            <x v="23"/>
          </reference>
        </references>
      </pivotArea>
    </chartFormat>
    <chartFormat chart="4" format="28">
      <pivotArea type="data" outline="0" fieldPosition="0">
        <references count="2">
          <reference field="4294967294" count="1" selected="0">
            <x v="0"/>
          </reference>
          <reference field="12" count="1" selected="0">
            <x v="30"/>
          </reference>
        </references>
      </pivotArea>
    </chartFormat>
    <chartFormat chart="4" format="29">
      <pivotArea type="data" outline="0" fieldPosition="0">
        <references count="2">
          <reference field="4294967294" count="1" selected="0">
            <x v="0"/>
          </reference>
          <reference field="12" count="1" selected="0">
            <x v="34"/>
          </reference>
        </references>
      </pivotArea>
    </chartFormat>
    <chartFormat chart="4" format="30">
      <pivotArea type="data" outline="0" fieldPosition="0">
        <references count="2">
          <reference field="4294967294" count="1" selected="0">
            <x v="0"/>
          </reference>
          <reference field="12" count="1" selected="0">
            <x v="46"/>
          </reference>
        </references>
      </pivotArea>
    </chartFormat>
    <chartFormat chart="4" format="31">
      <pivotArea type="data" outline="0" fieldPosition="0">
        <references count="2">
          <reference field="4294967294" count="1" selected="0">
            <x v="0"/>
          </reference>
          <reference field="12" count="1" selected="0">
            <x v="51"/>
          </reference>
        </references>
      </pivotArea>
    </chartFormat>
    <chartFormat chart="4" format="32">
      <pivotArea type="data" outline="0" fieldPosition="0">
        <references count="2">
          <reference field="4294967294" count="1" selected="0">
            <x v="0"/>
          </reference>
          <reference field="12" count="1" selected="0">
            <x v="74"/>
          </reference>
        </references>
      </pivotArea>
    </chartFormat>
    <chartFormat chart="4" format="33">
      <pivotArea type="data" outline="0" fieldPosition="0">
        <references count="2">
          <reference field="4294967294" count="1" selected="0">
            <x v="0"/>
          </reference>
          <reference field="12" count="1" selected="0">
            <x v="112"/>
          </reference>
        </references>
      </pivotArea>
    </chartFormat>
    <chartFormat chart="4" format="34">
      <pivotArea type="data" outline="0" fieldPosition="0">
        <references count="2">
          <reference field="4294967294" count="1" selected="0">
            <x v="0"/>
          </reference>
          <reference field="12" count="1" selected="0">
            <x v="142"/>
          </reference>
        </references>
      </pivotArea>
    </chartFormat>
    <chartFormat chart="4" format="35">
      <pivotArea type="data" outline="0" fieldPosition="0">
        <references count="2">
          <reference field="4294967294" count="1" selected="0">
            <x v="0"/>
          </reference>
          <reference field="12" count="1" selected="0">
            <x v="144"/>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9550D4-49CC-4F30-89F0-78248107C028}" name="Table1" displayName="Table1" ref="A1:M401" totalsRowShown="0" headerRowDxfId="0" dataDxfId="1" headerRowCellStyle="Neutral">
  <autoFilter ref="A1:M401" xr:uid="{00000000-0009-0000-0000-000008000000}"/>
  <tableColumns count="13">
    <tableColumn id="1" xr3:uid="{5B8A1BAD-42CA-4402-B45A-ACA9B455B158}" name="name" dataDxfId="14"/>
    <tableColumn id="2" xr3:uid="{44BDBB8F-9E0B-4A9F-8FB4-6959233FA976}" name="original price" dataDxfId="13"/>
    <tableColumn id="3" xr3:uid="{F61AEE48-3463-43B1-86BD-A63387B50B45}" name="special price" dataDxfId="12"/>
    <tableColumn id="4" xr3:uid="{3A3958BB-8A44-48A4-9EB8-782FE8D9453E}" name="discount" dataDxfId="11"/>
    <tableColumn id="5" xr3:uid="{1C2347BE-CFE6-4F47-AE32-D6BF8A2DDE0C}" name="plant size" dataDxfId="10"/>
    <tableColumn id="6" xr3:uid="{F457019C-278C-40E2-B3EF-209C9851CF47}" name="return policy" dataDxfId="9"/>
    <tableColumn id="7" xr3:uid="{A45D1D2F-F821-4CAA-B7B8-BB4F23BF5965}" name="type" dataDxfId="8"/>
    <tableColumn id="8" xr3:uid="{5166ABE0-A71E-4E8C-8074-70D9C2520EAC}" name="life cycle" dataDxfId="7"/>
    <tableColumn id="9" xr3:uid="{6EC7A4A7-D548-4680-B3E8-563324847021}" name="location" dataDxfId="6"/>
    <tableColumn id="10" xr3:uid="{71600A86-9392-4639-9750-0C6516133069}" name="feng shui" dataDxfId="5"/>
    <tableColumn id="11" xr3:uid="{D20D510B-B5C2-4102-BF0F-344CDB754828}" name="plant age" dataDxfId="4"/>
    <tableColumn id="12" xr3:uid="{EF36A773-FE6D-4D8D-8E59-ED636B58E749}" name="hybride" dataDxfId="3"/>
    <tableColumn id="13" xr3:uid="{D9265B6D-415E-46F8-8F4C-7EE53E3AA33A}" name="brand" dataDxfId="2"/>
  </tableColumns>
  <tableStyleInfo name="TableStyleLight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01"/>
  <sheetViews>
    <sheetView tabSelected="1" zoomScaleNormal="100" workbookViewId="0">
      <selection activeCell="I30" sqref="I30"/>
    </sheetView>
  </sheetViews>
  <sheetFormatPr defaultRowHeight="15.6" x14ac:dyDescent="0.3"/>
  <cols>
    <col min="1" max="1" width="104.5" customWidth="1"/>
    <col min="2" max="2" width="15.69921875" style="3" customWidth="1"/>
    <col min="3" max="3" width="13.09765625" customWidth="1"/>
    <col min="4" max="4" width="10" customWidth="1"/>
    <col min="5" max="5" width="11.296875" customWidth="1"/>
    <col min="6" max="6" width="18.69921875" customWidth="1"/>
    <col min="7" max="7" width="20" customWidth="1"/>
    <col min="8" max="8" width="9.8984375" customWidth="1"/>
    <col min="9" max="9" width="31.296875" customWidth="1"/>
    <col min="10" max="10" width="10.5" customWidth="1"/>
    <col min="11" max="11" width="14.3984375" customWidth="1"/>
    <col min="12" max="12" width="15.09765625" customWidth="1"/>
    <col min="13" max="13" width="28.796875" customWidth="1"/>
    <col min="14" max="14" width="13.09765625" customWidth="1"/>
    <col min="15" max="15" width="28.796875" customWidth="1"/>
    <col min="16" max="16" width="9.69921875" customWidth="1"/>
    <col min="17" max="17" width="13.296875" customWidth="1"/>
    <col min="18" max="18" width="17.296875" customWidth="1"/>
    <col min="19" max="19" width="8.5" customWidth="1"/>
  </cols>
  <sheetData>
    <row r="1" spans="1:21" x14ac:dyDescent="0.3">
      <c r="A1" s="6" t="s">
        <v>0</v>
      </c>
      <c r="B1" s="7" t="s">
        <v>1</v>
      </c>
      <c r="C1" s="6" t="s">
        <v>2</v>
      </c>
      <c r="D1" s="6" t="s">
        <v>3</v>
      </c>
      <c r="E1" s="6" t="s">
        <v>4</v>
      </c>
      <c r="F1" s="6" t="s">
        <v>5</v>
      </c>
      <c r="G1" s="6" t="s">
        <v>6</v>
      </c>
      <c r="H1" s="6" t="s">
        <v>7</v>
      </c>
      <c r="I1" s="6" t="s">
        <v>8</v>
      </c>
      <c r="J1" s="6" t="s">
        <v>9</v>
      </c>
      <c r="K1" s="6" t="s">
        <v>10</v>
      </c>
      <c r="L1" s="6" t="s">
        <v>11</v>
      </c>
      <c r="M1" s="6" t="s">
        <v>12</v>
      </c>
      <c r="O1" s="17" t="s">
        <v>543</v>
      </c>
      <c r="P1" s="17"/>
      <c r="R1" s="17" t="s">
        <v>550</v>
      </c>
      <c r="S1" s="17"/>
      <c r="T1" s="17"/>
      <c r="U1" s="17"/>
    </row>
    <row r="2" spans="1:21" x14ac:dyDescent="0.3">
      <c r="A2" s="1" t="s">
        <v>13</v>
      </c>
      <c r="B2" s="2">
        <v>499</v>
      </c>
      <c r="C2" s="4">
        <v>199</v>
      </c>
      <c r="D2" s="5">
        <v>0.6</v>
      </c>
      <c r="E2" s="1" t="s">
        <v>14</v>
      </c>
      <c r="F2" s="1" t="s">
        <v>15</v>
      </c>
      <c r="G2" s="1" t="s">
        <v>16</v>
      </c>
      <c r="H2" s="1" t="s">
        <v>17</v>
      </c>
      <c r="I2" s="1" t="s">
        <v>18</v>
      </c>
      <c r="J2" s="1" t="s">
        <v>19</v>
      </c>
      <c r="K2" s="2">
        <v>1</v>
      </c>
      <c r="L2" s="8" t="s">
        <v>19</v>
      </c>
      <c r="M2" s="1" t="s">
        <v>20</v>
      </c>
      <c r="O2" s="17"/>
      <c r="P2" s="17"/>
      <c r="R2" s="17"/>
      <c r="S2" s="17"/>
      <c r="T2" s="17"/>
      <c r="U2" s="17"/>
    </row>
    <row r="3" spans="1:21" x14ac:dyDescent="0.3">
      <c r="A3" s="1" t="s">
        <v>21</v>
      </c>
      <c r="B3" s="2">
        <v>599</v>
      </c>
      <c r="C3" s="4">
        <v>130</v>
      </c>
      <c r="D3" s="5">
        <v>0.78</v>
      </c>
      <c r="E3" s="1" t="s">
        <v>22</v>
      </c>
      <c r="F3" s="1" t="s">
        <v>15</v>
      </c>
      <c r="G3" s="1" t="s">
        <v>23</v>
      </c>
      <c r="H3" s="1" t="s">
        <v>24</v>
      </c>
      <c r="I3" s="1" t="s">
        <v>539</v>
      </c>
      <c r="J3" s="1" t="s">
        <v>25</v>
      </c>
      <c r="K3" s="2">
        <v>1</v>
      </c>
      <c r="L3" s="8" t="s">
        <v>25</v>
      </c>
      <c r="M3" s="1" t="s">
        <v>26</v>
      </c>
      <c r="O3" s="9" t="s">
        <v>540</v>
      </c>
      <c r="P3" s="3">
        <f>MEDIAN(B1:B401)</f>
        <v>499</v>
      </c>
    </row>
    <row r="4" spans="1:21" x14ac:dyDescent="0.3">
      <c r="A4" s="1" t="s">
        <v>27</v>
      </c>
      <c r="B4" s="2">
        <v>499</v>
      </c>
      <c r="C4" s="4">
        <v>249</v>
      </c>
      <c r="D4" s="5">
        <v>0.5</v>
      </c>
      <c r="E4" s="1" t="s">
        <v>14</v>
      </c>
      <c r="F4" s="1" t="s">
        <v>15</v>
      </c>
      <c r="G4" s="1" t="s">
        <v>28</v>
      </c>
      <c r="H4" s="1" t="s">
        <v>17</v>
      </c>
      <c r="I4" s="1" t="s">
        <v>539</v>
      </c>
      <c r="J4" s="1" t="s">
        <v>19</v>
      </c>
      <c r="K4" s="2">
        <v>1</v>
      </c>
      <c r="L4" s="1" t="s">
        <v>25</v>
      </c>
      <c r="M4" s="1" t="s">
        <v>29</v>
      </c>
      <c r="O4" s="10"/>
      <c r="R4" s="10" t="s">
        <v>547</v>
      </c>
      <c r="S4">
        <f>COUNTIF(E2:E401,"Small")</f>
        <v>303</v>
      </c>
    </row>
    <row r="5" spans="1:21" x14ac:dyDescent="0.3">
      <c r="A5" s="1" t="s">
        <v>30</v>
      </c>
      <c r="B5" s="2">
        <v>399</v>
      </c>
      <c r="C5" s="4">
        <v>120</v>
      </c>
      <c r="D5" s="5">
        <v>0.69</v>
      </c>
      <c r="E5" s="1" t="s">
        <v>22</v>
      </c>
      <c r="F5" s="1" t="s">
        <v>15</v>
      </c>
      <c r="G5" s="1" t="s">
        <v>23</v>
      </c>
      <c r="H5" s="1" t="s">
        <v>24</v>
      </c>
      <c r="I5" s="1" t="s">
        <v>539</v>
      </c>
      <c r="J5" s="1" t="s">
        <v>19</v>
      </c>
      <c r="K5" s="2">
        <v>1</v>
      </c>
      <c r="L5" s="1" t="s">
        <v>25</v>
      </c>
      <c r="M5" s="1" t="s">
        <v>31</v>
      </c>
      <c r="O5" s="9" t="s">
        <v>541</v>
      </c>
      <c r="P5" s="3">
        <f>AVERAGE(B1:B401)</f>
        <v>520.33749999999998</v>
      </c>
      <c r="R5" s="10"/>
    </row>
    <row r="6" spans="1:21" x14ac:dyDescent="0.3">
      <c r="A6" s="1" t="s">
        <v>32</v>
      </c>
      <c r="B6" s="2">
        <v>398</v>
      </c>
      <c r="C6" s="4">
        <v>124</v>
      </c>
      <c r="D6" s="5">
        <v>0.68</v>
      </c>
      <c r="E6" s="1" t="s">
        <v>22</v>
      </c>
      <c r="F6" s="1" t="s">
        <v>15</v>
      </c>
      <c r="G6" s="1" t="s">
        <v>23</v>
      </c>
      <c r="H6" s="1" t="s">
        <v>17</v>
      </c>
      <c r="I6" s="1" t="s">
        <v>539</v>
      </c>
      <c r="J6" s="1" t="s">
        <v>19</v>
      </c>
      <c r="K6" s="2">
        <v>1</v>
      </c>
      <c r="L6" s="1" t="s">
        <v>25</v>
      </c>
      <c r="M6" s="1" t="s">
        <v>33</v>
      </c>
      <c r="O6" s="10"/>
      <c r="R6" s="10" t="s">
        <v>548</v>
      </c>
      <c r="S6">
        <f>COUNTIF(E2:E401,"Medium")</f>
        <v>96</v>
      </c>
    </row>
    <row r="7" spans="1:21" x14ac:dyDescent="0.3">
      <c r="A7" s="1" t="s">
        <v>34</v>
      </c>
      <c r="B7" s="2">
        <v>599</v>
      </c>
      <c r="C7" s="4">
        <v>120</v>
      </c>
      <c r="D7" s="5">
        <v>0.79</v>
      </c>
      <c r="E7" s="1" t="s">
        <v>22</v>
      </c>
      <c r="F7" s="1" t="s">
        <v>15</v>
      </c>
      <c r="G7" s="1" t="s">
        <v>23</v>
      </c>
      <c r="H7" s="1" t="s">
        <v>24</v>
      </c>
      <c r="I7" s="1" t="s">
        <v>539</v>
      </c>
      <c r="J7" s="1" t="s">
        <v>25</v>
      </c>
      <c r="K7" s="2">
        <v>1</v>
      </c>
      <c r="L7" s="1" t="s">
        <v>25</v>
      </c>
      <c r="M7" s="1" t="s">
        <v>26</v>
      </c>
      <c r="O7" s="9" t="s">
        <v>542</v>
      </c>
      <c r="P7">
        <f>MODE(B2:B401)</f>
        <v>499</v>
      </c>
      <c r="R7" s="10"/>
    </row>
    <row r="8" spans="1:21" x14ac:dyDescent="0.3">
      <c r="A8" s="1" t="s">
        <v>35</v>
      </c>
      <c r="B8" s="2">
        <v>489</v>
      </c>
      <c r="C8" s="4">
        <v>125</v>
      </c>
      <c r="D8" s="5">
        <v>0.74</v>
      </c>
      <c r="E8" s="1" t="s">
        <v>22</v>
      </c>
      <c r="F8" s="1" t="s">
        <v>15</v>
      </c>
      <c r="G8" s="1" t="s">
        <v>36</v>
      </c>
      <c r="H8" s="1" t="s">
        <v>24</v>
      </c>
      <c r="I8" s="1" t="s">
        <v>539</v>
      </c>
      <c r="J8" s="1" t="s">
        <v>25</v>
      </c>
      <c r="K8" s="2">
        <v>1</v>
      </c>
      <c r="L8" s="1" t="s">
        <v>25</v>
      </c>
      <c r="M8" s="1" t="s">
        <v>37</v>
      </c>
      <c r="R8" s="10" t="s">
        <v>549</v>
      </c>
      <c r="S8">
        <f>COUNTIF(E2:E401,"LARGE")</f>
        <v>1</v>
      </c>
    </row>
    <row r="9" spans="1:21" x14ac:dyDescent="0.3">
      <c r="A9" s="1" t="s">
        <v>38</v>
      </c>
      <c r="B9" s="2">
        <v>499</v>
      </c>
      <c r="C9" s="4">
        <v>135</v>
      </c>
      <c r="D9" s="5">
        <v>0.72</v>
      </c>
      <c r="E9" s="1" t="s">
        <v>22</v>
      </c>
      <c r="F9" s="1" t="s">
        <v>15</v>
      </c>
      <c r="G9" s="1" t="s">
        <v>28</v>
      </c>
      <c r="H9" s="1" t="s">
        <v>17</v>
      </c>
      <c r="I9" s="1" t="s">
        <v>539</v>
      </c>
      <c r="J9" s="1" t="s">
        <v>19</v>
      </c>
      <c r="K9" s="2">
        <v>1</v>
      </c>
      <c r="L9" s="1" t="s">
        <v>25</v>
      </c>
      <c r="M9" s="1" t="s">
        <v>39</v>
      </c>
    </row>
    <row r="10" spans="1:21" x14ac:dyDescent="0.3">
      <c r="A10" s="1" t="s">
        <v>40</v>
      </c>
      <c r="B10" s="2">
        <v>499</v>
      </c>
      <c r="C10" s="4">
        <v>121</v>
      </c>
      <c r="D10" s="5">
        <v>0.75</v>
      </c>
      <c r="E10" s="1" t="s">
        <v>14</v>
      </c>
      <c r="F10" s="1" t="s">
        <v>15</v>
      </c>
      <c r="G10" s="1" t="s">
        <v>23</v>
      </c>
      <c r="H10" s="1" t="s">
        <v>17</v>
      </c>
      <c r="I10" s="1" t="s">
        <v>539</v>
      </c>
      <c r="J10" s="1" t="s">
        <v>19</v>
      </c>
      <c r="K10" s="2">
        <v>0.5</v>
      </c>
      <c r="L10" s="1" t="s">
        <v>25</v>
      </c>
      <c r="M10" s="1" t="s">
        <v>41</v>
      </c>
      <c r="O10" s="17" t="s">
        <v>544</v>
      </c>
      <c r="P10" s="17"/>
    </row>
    <row r="11" spans="1:21" x14ac:dyDescent="0.3">
      <c r="A11" s="1" t="s">
        <v>42</v>
      </c>
      <c r="B11" s="2">
        <v>499</v>
      </c>
      <c r="C11" s="4">
        <v>125</v>
      </c>
      <c r="D11" s="5">
        <v>0.74</v>
      </c>
      <c r="E11" s="1" t="s">
        <v>22</v>
      </c>
      <c r="F11" s="1" t="s">
        <v>15</v>
      </c>
      <c r="G11" s="1" t="s">
        <v>23</v>
      </c>
      <c r="H11" s="1" t="s">
        <v>24</v>
      </c>
      <c r="I11" s="1" t="s">
        <v>539</v>
      </c>
      <c r="J11" s="1" t="s">
        <v>19</v>
      </c>
      <c r="K11" s="2">
        <v>1</v>
      </c>
      <c r="L11" s="1" t="s">
        <v>25</v>
      </c>
      <c r="M11" s="1" t="s">
        <v>39</v>
      </c>
      <c r="O11" s="17"/>
      <c r="P11" s="17"/>
      <c r="R11" s="18" t="s">
        <v>551</v>
      </c>
      <c r="S11" s="18"/>
    </row>
    <row r="12" spans="1:21" x14ac:dyDescent="0.3">
      <c r="A12" s="1" t="s">
        <v>43</v>
      </c>
      <c r="B12" s="2">
        <v>299</v>
      </c>
      <c r="C12" s="4">
        <v>130</v>
      </c>
      <c r="D12" s="5">
        <v>0.56000000000000005</v>
      </c>
      <c r="E12" s="1" t="s">
        <v>22</v>
      </c>
      <c r="F12" s="1" t="s">
        <v>15</v>
      </c>
      <c r="G12" s="1" t="s">
        <v>23</v>
      </c>
      <c r="H12" s="1" t="s">
        <v>17</v>
      </c>
      <c r="I12" s="1" t="s">
        <v>539</v>
      </c>
      <c r="J12" s="1" t="s">
        <v>19</v>
      </c>
      <c r="K12" s="2">
        <v>1</v>
      </c>
      <c r="L12" s="8" t="s">
        <v>25</v>
      </c>
      <c r="M12" s="1" t="s">
        <v>44</v>
      </c>
      <c r="R12" s="18"/>
      <c r="S12" s="18"/>
    </row>
    <row r="13" spans="1:21" x14ac:dyDescent="0.3">
      <c r="A13" s="1" t="s">
        <v>45</v>
      </c>
      <c r="B13" s="2">
        <v>499</v>
      </c>
      <c r="C13" s="4">
        <v>128</v>
      </c>
      <c r="D13" s="5">
        <v>0.74</v>
      </c>
      <c r="E13" s="1" t="s">
        <v>22</v>
      </c>
      <c r="F13" s="1" t="s">
        <v>15</v>
      </c>
      <c r="G13" s="1" t="s">
        <v>46</v>
      </c>
      <c r="H13" s="1" t="s">
        <v>24</v>
      </c>
      <c r="I13" s="1" t="s">
        <v>18</v>
      </c>
      <c r="J13" s="1" t="s">
        <v>19</v>
      </c>
      <c r="K13" s="2">
        <v>3</v>
      </c>
      <c r="L13" s="1" t="s">
        <v>19</v>
      </c>
      <c r="M13" s="1" t="s">
        <v>47</v>
      </c>
      <c r="O13" s="9" t="s">
        <v>540</v>
      </c>
      <c r="P13" s="11">
        <f>MEDIAN(C2:C401)</f>
        <v>135</v>
      </c>
    </row>
    <row r="14" spans="1:21" x14ac:dyDescent="0.3">
      <c r="A14" s="1" t="s">
        <v>48</v>
      </c>
      <c r="B14" s="2">
        <v>405</v>
      </c>
      <c r="C14" s="4">
        <v>130</v>
      </c>
      <c r="D14" s="5">
        <v>0.67</v>
      </c>
      <c r="E14" s="1" t="s">
        <v>22</v>
      </c>
      <c r="F14" s="1" t="s">
        <v>15</v>
      </c>
      <c r="G14" s="1" t="s">
        <v>49</v>
      </c>
      <c r="H14" s="1" t="s">
        <v>24</v>
      </c>
      <c r="I14" s="1" t="s">
        <v>539</v>
      </c>
      <c r="J14" s="1" t="s">
        <v>25</v>
      </c>
      <c r="K14" s="2">
        <v>50</v>
      </c>
      <c r="L14" s="1" t="s">
        <v>25</v>
      </c>
      <c r="M14" s="1" t="s">
        <v>50</v>
      </c>
      <c r="O14" s="10"/>
      <c r="R14" s="10" t="s">
        <v>552</v>
      </c>
      <c r="S14">
        <f>COUNTIF(L2:L401,"yes")</f>
        <v>331</v>
      </c>
    </row>
    <row r="15" spans="1:21" x14ac:dyDescent="0.3">
      <c r="A15" s="1" t="s">
        <v>51</v>
      </c>
      <c r="B15" s="2">
        <v>499</v>
      </c>
      <c r="C15" s="4">
        <v>279</v>
      </c>
      <c r="D15" s="5">
        <v>0.44</v>
      </c>
      <c r="E15" s="1" t="s">
        <v>22</v>
      </c>
      <c r="F15" s="1" t="s">
        <v>15</v>
      </c>
      <c r="G15" s="1" t="s">
        <v>52</v>
      </c>
      <c r="H15" s="1" t="s">
        <v>24</v>
      </c>
      <c r="I15" s="1" t="s">
        <v>18</v>
      </c>
      <c r="J15" s="1" t="s">
        <v>19</v>
      </c>
      <c r="K15" s="2">
        <v>1</v>
      </c>
      <c r="L15" s="1" t="s">
        <v>19</v>
      </c>
      <c r="M15" s="1" t="s">
        <v>53</v>
      </c>
      <c r="O15" s="9" t="s">
        <v>541</v>
      </c>
      <c r="P15" s="11">
        <f>AVERAGE(C2:C401)</f>
        <v>168.64250000000001</v>
      </c>
    </row>
    <row r="16" spans="1:21" x14ac:dyDescent="0.3">
      <c r="A16" s="1" t="s">
        <v>54</v>
      </c>
      <c r="B16" s="2">
        <v>499</v>
      </c>
      <c r="C16" s="4">
        <v>140</v>
      </c>
      <c r="D16" s="5">
        <v>0.71</v>
      </c>
      <c r="E16" s="1" t="s">
        <v>22</v>
      </c>
      <c r="F16" s="1" t="s">
        <v>15</v>
      </c>
      <c r="G16" s="1" t="s">
        <v>49</v>
      </c>
      <c r="H16" s="1" t="s">
        <v>24</v>
      </c>
      <c r="I16" s="1" t="s">
        <v>539</v>
      </c>
      <c r="J16" s="1" t="s">
        <v>25</v>
      </c>
      <c r="K16" s="2">
        <v>15</v>
      </c>
      <c r="L16" s="1" t="s">
        <v>25</v>
      </c>
      <c r="M16" s="1" t="s">
        <v>55</v>
      </c>
      <c r="O16" s="10"/>
    </row>
    <row r="17" spans="1:16" x14ac:dyDescent="0.3">
      <c r="A17" s="1" t="s">
        <v>56</v>
      </c>
      <c r="B17" s="2">
        <v>799</v>
      </c>
      <c r="C17" s="4">
        <v>126</v>
      </c>
      <c r="D17" s="5">
        <v>0.84</v>
      </c>
      <c r="E17" s="1" t="s">
        <v>14</v>
      </c>
      <c r="F17" s="1" t="s">
        <v>15</v>
      </c>
      <c r="G17" s="1" t="s">
        <v>23</v>
      </c>
      <c r="H17" s="1" t="s">
        <v>17</v>
      </c>
      <c r="I17" s="1" t="s">
        <v>57</v>
      </c>
      <c r="J17" s="1" t="s">
        <v>19</v>
      </c>
      <c r="K17" s="2">
        <v>1</v>
      </c>
      <c r="L17" s="1" t="s">
        <v>25</v>
      </c>
      <c r="M17" s="1" t="s">
        <v>58</v>
      </c>
      <c r="O17" s="9" t="s">
        <v>542</v>
      </c>
      <c r="P17">
        <f>MODE(C2:C401)</f>
        <v>125</v>
      </c>
    </row>
    <row r="18" spans="1:16" x14ac:dyDescent="0.3">
      <c r="A18" s="1" t="s">
        <v>59</v>
      </c>
      <c r="B18" s="2">
        <v>422</v>
      </c>
      <c r="C18" s="4">
        <v>120</v>
      </c>
      <c r="D18" s="5">
        <v>0.71</v>
      </c>
      <c r="E18" s="1" t="s">
        <v>22</v>
      </c>
      <c r="F18" s="1" t="s">
        <v>15</v>
      </c>
      <c r="G18" s="1" t="s">
        <v>28</v>
      </c>
      <c r="H18" s="1" t="s">
        <v>17</v>
      </c>
      <c r="I18" s="1" t="s">
        <v>539</v>
      </c>
      <c r="J18" s="1" t="s">
        <v>19</v>
      </c>
      <c r="K18" s="2">
        <v>1</v>
      </c>
      <c r="L18" s="1" t="s">
        <v>25</v>
      </c>
      <c r="M18" s="1" t="s">
        <v>60</v>
      </c>
    </row>
    <row r="19" spans="1:16" x14ac:dyDescent="0.3">
      <c r="A19" s="1" t="s">
        <v>61</v>
      </c>
      <c r="B19" s="2">
        <v>449</v>
      </c>
      <c r="C19" s="4">
        <v>179</v>
      </c>
      <c r="D19" s="5">
        <v>0.6</v>
      </c>
      <c r="E19" s="1" t="s">
        <v>22</v>
      </c>
      <c r="F19" s="1" t="s">
        <v>15</v>
      </c>
      <c r="G19" s="1" t="s">
        <v>46</v>
      </c>
      <c r="H19" s="1" t="s">
        <v>17</v>
      </c>
      <c r="I19" s="1" t="s">
        <v>539</v>
      </c>
      <c r="J19" s="1" t="s">
        <v>19</v>
      </c>
      <c r="K19" s="2">
        <v>0.8</v>
      </c>
      <c r="L19" s="8" t="s">
        <v>25</v>
      </c>
      <c r="M19" s="1" t="s">
        <v>62</v>
      </c>
    </row>
    <row r="20" spans="1:16" x14ac:dyDescent="0.3">
      <c r="A20" s="1" t="s">
        <v>63</v>
      </c>
      <c r="B20" s="2">
        <v>399</v>
      </c>
      <c r="C20" s="4">
        <v>186</v>
      </c>
      <c r="D20" s="5">
        <v>0.53</v>
      </c>
      <c r="E20" s="1" t="s">
        <v>14</v>
      </c>
      <c r="F20" s="1" t="s">
        <v>15</v>
      </c>
      <c r="G20" s="1" t="s">
        <v>64</v>
      </c>
      <c r="H20" s="1" t="s">
        <v>17</v>
      </c>
      <c r="I20" s="1" t="s">
        <v>18</v>
      </c>
      <c r="J20" s="1" t="s">
        <v>25</v>
      </c>
      <c r="K20" s="2">
        <v>1</v>
      </c>
      <c r="L20" s="1" t="s">
        <v>25</v>
      </c>
      <c r="M20" s="1" t="s">
        <v>65</v>
      </c>
      <c r="O20" s="17" t="s">
        <v>545</v>
      </c>
      <c r="P20" s="17"/>
    </row>
    <row r="21" spans="1:16" x14ac:dyDescent="0.3">
      <c r="A21" s="1" t="s">
        <v>66</v>
      </c>
      <c r="B21" s="2">
        <v>399</v>
      </c>
      <c r="C21" s="4">
        <v>185</v>
      </c>
      <c r="D21" s="5">
        <v>0.53</v>
      </c>
      <c r="E21" s="1" t="s">
        <v>22</v>
      </c>
      <c r="F21" s="1" t="s">
        <v>15</v>
      </c>
      <c r="G21" s="1" t="s">
        <v>23</v>
      </c>
      <c r="H21" s="1" t="s">
        <v>17</v>
      </c>
      <c r="I21" s="1" t="s">
        <v>539</v>
      </c>
      <c r="J21" s="1" t="s">
        <v>19</v>
      </c>
      <c r="K21" s="2">
        <v>1</v>
      </c>
      <c r="L21" s="1" t="s">
        <v>25</v>
      </c>
      <c r="M21" s="1" t="s">
        <v>44</v>
      </c>
      <c r="O21" s="17"/>
      <c r="P21" s="17"/>
    </row>
    <row r="22" spans="1:16" x14ac:dyDescent="0.3">
      <c r="A22" s="1" t="s">
        <v>67</v>
      </c>
      <c r="B22" s="2">
        <v>399</v>
      </c>
      <c r="C22" s="4">
        <v>160</v>
      </c>
      <c r="D22" s="5">
        <v>0.59</v>
      </c>
      <c r="E22" s="1" t="s">
        <v>22</v>
      </c>
      <c r="F22" s="1" t="s">
        <v>15</v>
      </c>
      <c r="G22" s="1" t="s">
        <v>23</v>
      </c>
      <c r="H22" s="1" t="s">
        <v>24</v>
      </c>
      <c r="I22" s="1" t="s">
        <v>539</v>
      </c>
      <c r="J22" s="1" t="s">
        <v>19</v>
      </c>
      <c r="K22" s="2">
        <v>1</v>
      </c>
      <c r="L22" s="1" t="s">
        <v>25</v>
      </c>
      <c r="M22" s="1" t="s">
        <v>44</v>
      </c>
    </row>
    <row r="23" spans="1:16" x14ac:dyDescent="0.3">
      <c r="A23" s="1" t="s">
        <v>68</v>
      </c>
      <c r="B23" s="2">
        <v>399</v>
      </c>
      <c r="C23" s="4">
        <v>119</v>
      </c>
      <c r="D23" s="5">
        <v>0.7</v>
      </c>
      <c r="E23" s="1" t="s">
        <v>22</v>
      </c>
      <c r="F23" s="1" t="s">
        <v>15</v>
      </c>
      <c r="G23" s="1" t="s">
        <v>28</v>
      </c>
      <c r="H23" s="1" t="s">
        <v>24</v>
      </c>
      <c r="I23" s="1" t="s">
        <v>539</v>
      </c>
      <c r="J23" s="1" t="s">
        <v>25</v>
      </c>
      <c r="K23" s="2">
        <v>0.5</v>
      </c>
      <c r="L23" s="1" t="s">
        <v>25</v>
      </c>
      <c r="M23" s="1" t="s">
        <v>69</v>
      </c>
      <c r="O23" s="9" t="s">
        <v>540</v>
      </c>
      <c r="P23" s="12">
        <f>MEDIAN(D2:D401)</f>
        <v>0.68</v>
      </c>
    </row>
    <row r="24" spans="1:16" x14ac:dyDescent="0.3">
      <c r="A24" s="1" t="s">
        <v>70</v>
      </c>
      <c r="B24" s="2">
        <v>235</v>
      </c>
      <c r="C24" s="4">
        <v>139</v>
      </c>
      <c r="D24" s="5">
        <v>0.4</v>
      </c>
      <c r="E24" s="1" t="s">
        <v>22</v>
      </c>
      <c r="F24" s="1" t="s">
        <v>15</v>
      </c>
      <c r="G24" s="1" t="s">
        <v>23</v>
      </c>
      <c r="H24" s="1" t="s">
        <v>17</v>
      </c>
      <c r="I24" s="1" t="s">
        <v>539</v>
      </c>
      <c r="J24" s="1" t="s">
        <v>19</v>
      </c>
      <c r="K24" s="2">
        <v>0.2</v>
      </c>
      <c r="L24" s="1" t="s">
        <v>25</v>
      </c>
      <c r="M24" s="1" t="s">
        <v>44</v>
      </c>
      <c r="O24" s="10"/>
    </row>
    <row r="25" spans="1:16" x14ac:dyDescent="0.3">
      <c r="A25" s="1" t="s">
        <v>71</v>
      </c>
      <c r="B25" s="2">
        <v>299</v>
      </c>
      <c r="C25" s="4">
        <v>118</v>
      </c>
      <c r="D25" s="5">
        <v>0.6</v>
      </c>
      <c r="E25" s="1" t="s">
        <v>22</v>
      </c>
      <c r="F25" s="1" t="s">
        <v>15</v>
      </c>
      <c r="G25" s="1" t="s">
        <v>36</v>
      </c>
      <c r="H25" s="1" t="s">
        <v>24</v>
      </c>
      <c r="I25" s="1" t="s">
        <v>539</v>
      </c>
      <c r="J25" s="1" t="s">
        <v>19</v>
      </c>
      <c r="K25" s="2">
        <v>1</v>
      </c>
      <c r="L25" s="1" t="s">
        <v>25</v>
      </c>
      <c r="M25" s="1" t="s">
        <v>72</v>
      </c>
      <c r="O25" s="9" t="s">
        <v>541</v>
      </c>
      <c r="P25" s="12">
        <f>AVERAGE(D2:D401)</f>
        <v>0.64050000000000007</v>
      </c>
    </row>
    <row r="26" spans="1:16" x14ac:dyDescent="0.3">
      <c r="A26" s="1" t="s">
        <v>73</v>
      </c>
      <c r="B26" s="2">
        <v>599</v>
      </c>
      <c r="C26" s="4">
        <v>149</v>
      </c>
      <c r="D26" s="5">
        <v>0.75</v>
      </c>
      <c r="E26" s="1" t="s">
        <v>22</v>
      </c>
      <c r="F26" s="1" t="s">
        <v>15</v>
      </c>
      <c r="G26" s="1" t="s">
        <v>28</v>
      </c>
      <c r="H26" s="1" t="s">
        <v>24</v>
      </c>
      <c r="I26" s="1" t="s">
        <v>539</v>
      </c>
      <c r="J26" s="1" t="s">
        <v>25</v>
      </c>
      <c r="K26" s="2">
        <v>1</v>
      </c>
      <c r="L26" s="1" t="s">
        <v>25</v>
      </c>
      <c r="M26" s="1" t="s">
        <v>26</v>
      </c>
      <c r="O26" s="10"/>
    </row>
    <row r="27" spans="1:16" x14ac:dyDescent="0.3">
      <c r="A27" s="1" t="s">
        <v>74</v>
      </c>
      <c r="B27" s="2">
        <v>663</v>
      </c>
      <c r="C27" s="4">
        <v>118</v>
      </c>
      <c r="D27" s="5">
        <v>0.82</v>
      </c>
      <c r="E27" s="1" t="s">
        <v>22</v>
      </c>
      <c r="F27" s="1" t="s">
        <v>15</v>
      </c>
      <c r="G27" s="1" t="s">
        <v>23</v>
      </c>
      <c r="H27" s="1" t="s">
        <v>17</v>
      </c>
      <c r="I27" s="1" t="s">
        <v>539</v>
      </c>
      <c r="J27" s="1" t="s">
        <v>19</v>
      </c>
      <c r="K27" s="2">
        <v>0.3</v>
      </c>
      <c r="L27" s="1" t="s">
        <v>25</v>
      </c>
      <c r="M27" s="1" t="s">
        <v>75</v>
      </c>
      <c r="O27" s="9" t="s">
        <v>542</v>
      </c>
      <c r="P27">
        <f>MODE(D2:D401)</f>
        <v>0.68</v>
      </c>
    </row>
    <row r="28" spans="1:16" x14ac:dyDescent="0.3">
      <c r="A28" s="1" t="s">
        <v>76</v>
      </c>
      <c r="B28" s="2">
        <v>399</v>
      </c>
      <c r="C28" s="4">
        <v>123</v>
      </c>
      <c r="D28" s="5">
        <v>0.69</v>
      </c>
      <c r="E28" s="1" t="s">
        <v>22</v>
      </c>
      <c r="F28" s="1" t="s">
        <v>15</v>
      </c>
      <c r="G28" s="1" t="s">
        <v>23</v>
      </c>
      <c r="H28" s="1" t="s">
        <v>17</v>
      </c>
      <c r="I28" s="1" t="s">
        <v>539</v>
      </c>
      <c r="J28" s="1" t="s">
        <v>25</v>
      </c>
      <c r="K28" s="2">
        <v>1</v>
      </c>
      <c r="L28" s="1" t="s">
        <v>25</v>
      </c>
      <c r="M28" s="1" t="s">
        <v>77</v>
      </c>
    </row>
    <row r="29" spans="1:16" x14ac:dyDescent="0.3">
      <c r="A29" s="1" t="s">
        <v>78</v>
      </c>
      <c r="B29" s="2">
        <v>349</v>
      </c>
      <c r="C29" s="4">
        <v>126</v>
      </c>
      <c r="D29" s="5">
        <v>0.63</v>
      </c>
      <c r="E29" s="1" t="s">
        <v>22</v>
      </c>
      <c r="F29" s="1" t="s">
        <v>15</v>
      </c>
      <c r="G29" s="1" t="s">
        <v>36</v>
      </c>
      <c r="H29" s="1" t="s">
        <v>17</v>
      </c>
      <c r="I29" s="1" t="s">
        <v>539</v>
      </c>
      <c r="J29" s="1" t="s">
        <v>25</v>
      </c>
      <c r="K29" s="2">
        <v>0.5</v>
      </c>
      <c r="L29" s="1" t="s">
        <v>25</v>
      </c>
      <c r="M29" s="1" t="s">
        <v>69</v>
      </c>
    </row>
    <row r="30" spans="1:16" x14ac:dyDescent="0.3">
      <c r="A30" s="1" t="s">
        <v>79</v>
      </c>
      <c r="B30" s="2">
        <v>999</v>
      </c>
      <c r="C30" s="4">
        <v>499</v>
      </c>
      <c r="D30" s="5">
        <v>0.5</v>
      </c>
      <c r="E30" s="1" t="s">
        <v>22</v>
      </c>
      <c r="F30" s="1" t="s">
        <v>15</v>
      </c>
      <c r="G30" s="1" t="s">
        <v>52</v>
      </c>
      <c r="H30" s="1" t="s">
        <v>17</v>
      </c>
      <c r="I30" s="1" t="s">
        <v>18</v>
      </c>
      <c r="J30" s="1" t="s">
        <v>25</v>
      </c>
      <c r="K30" s="2">
        <v>4</v>
      </c>
      <c r="L30" s="1" t="s">
        <v>25</v>
      </c>
      <c r="M30" s="1" t="s">
        <v>80</v>
      </c>
    </row>
    <row r="31" spans="1:16" x14ac:dyDescent="0.3">
      <c r="A31" s="1" t="s">
        <v>81</v>
      </c>
      <c r="B31" s="2">
        <v>499</v>
      </c>
      <c r="C31" s="4">
        <v>121</v>
      </c>
      <c r="D31" s="5">
        <v>0.75</v>
      </c>
      <c r="E31" s="1" t="s">
        <v>14</v>
      </c>
      <c r="F31" s="1" t="s">
        <v>15</v>
      </c>
      <c r="G31" s="1" t="s">
        <v>36</v>
      </c>
      <c r="H31" s="1" t="s">
        <v>17</v>
      </c>
      <c r="I31" s="1" t="s">
        <v>539</v>
      </c>
      <c r="J31" s="1" t="s">
        <v>19</v>
      </c>
      <c r="K31" s="2">
        <v>1</v>
      </c>
      <c r="L31" s="8" t="s">
        <v>25</v>
      </c>
      <c r="M31" s="1" t="s">
        <v>39</v>
      </c>
      <c r="O31" s="17" t="s">
        <v>546</v>
      </c>
      <c r="P31" s="17"/>
    </row>
    <row r="32" spans="1:16" x14ac:dyDescent="0.3">
      <c r="A32" s="1" t="s">
        <v>82</v>
      </c>
      <c r="B32" s="2">
        <v>299</v>
      </c>
      <c r="C32" s="4">
        <v>115</v>
      </c>
      <c r="D32" s="5">
        <v>0.61</v>
      </c>
      <c r="E32" s="1" t="s">
        <v>14</v>
      </c>
      <c r="F32" s="1" t="s">
        <v>15</v>
      </c>
      <c r="G32" s="1" t="s">
        <v>23</v>
      </c>
      <c r="H32" s="1" t="s">
        <v>17</v>
      </c>
      <c r="I32" s="1" t="s">
        <v>539</v>
      </c>
      <c r="J32" s="1" t="s">
        <v>19</v>
      </c>
      <c r="K32" s="2">
        <v>1</v>
      </c>
      <c r="L32" s="1" t="s">
        <v>25</v>
      </c>
      <c r="M32" s="1" t="s">
        <v>83</v>
      </c>
      <c r="O32" s="17"/>
      <c r="P32" s="17"/>
    </row>
    <row r="33" spans="1:16" x14ac:dyDescent="0.3">
      <c r="A33" s="1" t="s">
        <v>84</v>
      </c>
      <c r="B33" s="2">
        <v>499</v>
      </c>
      <c r="C33" s="4">
        <v>140</v>
      </c>
      <c r="D33" s="5">
        <v>0.71</v>
      </c>
      <c r="E33" s="1" t="s">
        <v>22</v>
      </c>
      <c r="F33" s="1" t="s">
        <v>15</v>
      </c>
      <c r="G33" s="1" t="s">
        <v>28</v>
      </c>
      <c r="H33" s="1" t="s">
        <v>17</v>
      </c>
      <c r="I33" s="1" t="s">
        <v>539</v>
      </c>
      <c r="J33" s="1" t="s">
        <v>19</v>
      </c>
      <c r="K33" s="2">
        <v>1</v>
      </c>
      <c r="L33" s="1" t="s">
        <v>25</v>
      </c>
      <c r="M33" s="1" t="s">
        <v>85</v>
      </c>
    </row>
    <row r="34" spans="1:16" x14ac:dyDescent="0.3">
      <c r="A34" s="1" t="s">
        <v>86</v>
      </c>
      <c r="B34" s="2">
        <v>399</v>
      </c>
      <c r="C34" s="4">
        <v>140</v>
      </c>
      <c r="D34" s="5">
        <v>0.64</v>
      </c>
      <c r="E34" s="1" t="s">
        <v>22</v>
      </c>
      <c r="F34" s="1" t="s">
        <v>15</v>
      </c>
      <c r="G34" s="1" t="s">
        <v>28</v>
      </c>
      <c r="H34" s="1" t="s">
        <v>17</v>
      </c>
      <c r="I34" s="1" t="s">
        <v>539</v>
      </c>
      <c r="J34" s="1" t="s">
        <v>19</v>
      </c>
      <c r="K34" s="2">
        <v>1</v>
      </c>
      <c r="L34" s="1" t="s">
        <v>25</v>
      </c>
      <c r="M34" s="1" t="s">
        <v>87</v>
      </c>
      <c r="O34" s="9" t="s">
        <v>540</v>
      </c>
      <c r="P34" s="3">
        <f>MEDIAN(K2:K401)</f>
        <v>1</v>
      </c>
    </row>
    <row r="35" spans="1:16" x14ac:dyDescent="0.3">
      <c r="A35" s="1" t="s">
        <v>88</v>
      </c>
      <c r="B35" s="2">
        <v>489</v>
      </c>
      <c r="C35" s="4">
        <v>140</v>
      </c>
      <c r="D35" s="5">
        <v>0.71</v>
      </c>
      <c r="E35" s="1" t="s">
        <v>22</v>
      </c>
      <c r="F35" s="1" t="s">
        <v>15</v>
      </c>
      <c r="G35" s="1" t="s">
        <v>36</v>
      </c>
      <c r="H35" s="1" t="s">
        <v>17</v>
      </c>
      <c r="I35" s="1" t="s">
        <v>539</v>
      </c>
      <c r="J35" s="1" t="s">
        <v>19</v>
      </c>
      <c r="K35" s="2">
        <v>5</v>
      </c>
      <c r="L35" s="1" t="s">
        <v>19</v>
      </c>
      <c r="M35" s="1" t="s">
        <v>89</v>
      </c>
      <c r="O35" s="10"/>
    </row>
    <row r="36" spans="1:16" x14ac:dyDescent="0.3">
      <c r="A36" s="1" t="s">
        <v>90</v>
      </c>
      <c r="B36" s="2">
        <v>599</v>
      </c>
      <c r="C36" s="4">
        <v>123</v>
      </c>
      <c r="D36" s="5">
        <v>0.79</v>
      </c>
      <c r="E36" s="1" t="s">
        <v>22</v>
      </c>
      <c r="F36" s="1" t="s">
        <v>15</v>
      </c>
      <c r="G36" s="1" t="s">
        <v>49</v>
      </c>
      <c r="H36" s="1" t="s">
        <v>24</v>
      </c>
      <c r="I36" s="1" t="s">
        <v>539</v>
      </c>
      <c r="J36" s="1" t="s">
        <v>25</v>
      </c>
      <c r="K36" s="2">
        <v>1</v>
      </c>
      <c r="L36" s="1" t="s">
        <v>25</v>
      </c>
      <c r="M36" s="1" t="s">
        <v>26</v>
      </c>
      <c r="O36" s="9" t="s">
        <v>541</v>
      </c>
      <c r="P36" s="3">
        <f>AVERAGE(K2:K401)</f>
        <v>1.5752500000000003</v>
      </c>
    </row>
    <row r="37" spans="1:16" x14ac:dyDescent="0.3">
      <c r="A37" s="1" t="s">
        <v>91</v>
      </c>
      <c r="B37" s="2">
        <v>549</v>
      </c>
      <c r="C37" s="4">
        <v>127</v>
      </c>
      <c r="D37" s="5">
        <v>0.76</v>
      </c>
      <c r="E37" s="1" t="s">
        <v>22</v>
      </c>
      <c r="F37" s="1" t="s">
        <v>15</v>
      </c>
      <c r="G37" s="1" t="s">
        <v>28</v>
      </c>
      <c r="H37" s="1" t="s">
        <v>24</v>
      </c>
      <c r="I37" s="1" t="s">
        <v>539</v>
      </c>
      <c r="J37" s="1" t="s">
        <v>25</v>
      </c>
      <c r="K37" s="2">
        <v>1</v>
      </c>
      <c r="L37" s="1" t="s">
        <v>25</v>
      </c>
      <c r="M37" s="1" t="s">
        <v>26</v>
      </c>
      <c r="O37" s="10"/>
    </row>
    <row r="38" spans="1:16" x14ac:dyDescent="0.3">
      <c r="A38" s="1" t="s">
        <v>92</v>
      </c>
      <c r="B38" s="2">
        <v>299</v>
      </c>
      <c r="C38" s="4">
        <v>180</v>
      </c>
      <c r="D38" s="5">
        <v>0.39</v>
      </c>
      <c r="E38" s="1" t="s">
        <v>14</v>
      </c>
      <c r="F38" s="1" t="s">
        <v>15</v>
      </c>
      <c r="G38" s="1" t="s">
        <v>28</v>
      </c>
      <c r="H38" s="1" t="s">
        <v>93</v>
      </c>
      <c r="I38" s="1" t="s">
        <v>539</v>
      </c>
      <c r="J38" s="1" t="s">
        <v>25</v>
      </c>
      <c r="K38" s="2">
        <v>0.5</v>
      </c>
      <c r="L38" s="1" t="s">
        <v>25</v>
      </c>
      <c r="M38" s="1" t="s">
        <v>94</v>
      </c>
      <c r="O38" s="9" t="s">
        <v>542</v>
      </c>
      <c r="P38">
        <f>MODE(K2:K401)</f>
        <v>1</v>
      </c>
    </row>
    <row r="39" spans="1:16" x14ac:dyDescent="0.3">
      <c r="A39" s="1" t="s">
        <v>95</v>
      </c>
      <c r="B39" s="2">
        <v>399</v>
      </c>
      <c r="C39" s="4">
        <v>130</v>
      </c>
      <c r="D39" s="5">
        <v>0.67</v>
      </c>
      <c r="E39" s="1" t="s">
        <v>22</v>
      </c>
      <c r="F39" s="1" t="s">
        <v>15</v>
      </c>
      <c r="G39" s="1" t="s">
        <v>49</v>
      </c>
      <c r="H39" s="1" t="s">
        <v>24</v>
      </c>
      <c r="I39" s="1" t="s">
        <v>539</v>
      </c>
      <c r="J39" s="1" t="s">
        <v>25</v>
      </c>
      <c r="K39" s="2">
        <v>1</v>
      </c>
      <c r="L39" s="1" t="s">
        <v>25</v>
      </c>
      <c r="M39" s="1" t="s">
        <v>96</v>
      </c>
    </row>
    <row r="40" spans="1:16" x14ac:dyDescent="0.3">
      <c r="A40" s="1" t="s">
        <v>97</v>
      </c>
      <c r="B40" s="2">
        <v>499</v>
      </c>
      <c r="C40" s="4">
        <v>258</v>
      </c>
      <c r="D40" s="5">
        <v>0.48</v>
      </c>
      <c r="E40" s="1" t="s">
        <v>14</v>
      </c>
      <c r="F40" s="1" t="s">
        <v>15</v>
      </c>
      <c r="G40" s="1" t="s">
        <v>46</v>
      </c>
      <c r="H40" s="1" t="s">
        <v>24</v>
      </c>
      <c r="I40" s="1" t="s">
        <v>18</v>
      </c>
      <c r="J40" s="1" t="s">
        <v>19</v>
      </c>
      <c r="K40" s="2">
        <v>1</v>
      </c>
      <c r="L40" s="1" t="s">
        <v>25</v>
      </c>
      <c r="M40" s="1" t="s">
        <v>98</v>
      </c>
    </row>
    <row r="41" spans="1:16" x14ac:dyDescent="0.3">
      <c r="A41" s="1" t="s">
        <v>99</v>
      </c>
      <c r="B41" s="2">
        <v>599</v>
      </c>
      <c r="C41" s="4">
        <v>125</v>
      </c>
      <c r="D41" s="5">
        <v>0.79</v>
      </c>
      <c r="E41" s="1" t="s">
        <v>22</v>
      </c>
      <c r="F41" s="1" t="s">
        <v>15</v>
      </c>
      <c r="G41" s="1" t="s">
        <v>23</v>
      </c>
      <c r="H41" s="1" t="s">
        <v>24</v>
      </c>
      <c r="I41" s="1" t="s">
        <v>539</v>
      </c>
      <c r="J41" s="1" t="s">
        <v>25</v>
      </c>
      <c r="K41" s="2">
        <v>1</v>
      </c>
      <c r="L41" s="1" t="s">
        <v>25</v>
      </c>
      <c r="M41" s="1" t="s">
        <v>26</v>
      </c>
    </row>
    <row r="42" spans="1:16" x14ac:dyDescent="0.3">
      <c r="A42" s="1" t="s">
        <v>100</v>
      </c>
      <c r="B42" s="2">
        <v>999</v>
      </c>
      <c r="C42" s="4">
        <v>125</v>
      </c>
      <c r="D42" s="5">
        <v>0.87</v>
      </c>
      <c r="E42" s="1" t="s">
        <v>22</v>
      </c>
      <c r="F42" s="1" t="s">
        <v>15</v>
      </c>
      <c r="G42" s="1" t="s">
        <v>64</v>
      </c>
      <c r="H42" s="1" t="s">
        <v>24</v>
      </c>
      <c r="I42" s="1" t="s">
        <v>539</v>
      </c>
      <c r="J42" s="1" t="s">
        <v>25</v>
      </c>
      <c r="K42" s="2">
        <v>1</v>
      </c>
      <c r="L42" s="1" t="s">
        <v>25</v>
      </c>
      <c r="M42" s="1" t="s">
        <v>101</v>
      </c>
      <c r="O42" s="11">
        <f>SUM(C2:C401)</f>
        <v>67457</v>
      </c>
    </row>
    <row r="43" spans="1:16" x14ac:dyDescent="0.3">
      <c r="A43" s="1" t="s">
        <v>97</v>
      </c>
      <c r="B43" s="2">
        <v>499</v>
      </c>
      <c r="C43" s="4">
        <v>258</v>
      </c>
      <c r="D43" s="5">
        <v>0.48</v>
      </c>
      <c r="E43" s="1" t="s">
        <v>14</v>
      </c>
      <c r="F43" s="1" t="s">
        <v>15</v>
      </c>
      <c r="G43" s="1" t="s">
        <v>46</v>
      </c>
      <c r="H43" s="1" t="s">
        <v>24</v>
      </c>
      <c r="I43" s="1" t="s">
        <v>18</v>
      </c>
      <c r="J43" s="1" t="s">
        <v>19</v>
      </c>
      <c r="K43" s="2">
        <v>1</v>
      </c>
      <c r="L43" s="1" t="s">
        <v>25</v>
      </c>
      <c r="M43" s="1" t="s">
        <v>98</v>
      </c>
    </row>
    <row r="44" spans="1:16" x14ac:dyDescent="0.3">
      <c r="A44" s="1" t="s">
        <v>92</v>
      </c>
      <c r="B44" s="2">
        <v>299</v>
      </c>
      <c r="C44" s="4">
        <v>180</v>
      </c>
      <c r="D44" s="5">
        <v>0.39</v>
      </c>
      <c r="E44" s="1" t="s">
        <v>14</v>
      </c>
      <c r="F44" s="1" t="s">
        <v>15</v>
      </c>
      <c r="G44" s="1" t="s">
        <v>28</v>
      </c>
      <c r="H44" s="1" t="s">
        <v>93</v>
      </c>
      <c r="I44" s="8" t="s">
        <v>539</v>
      </c>
      <c r="J44" s="1" t="s">
        <v>25</v>
      </c>
      <c r="K44" s="2">
        <v>0.5</v>
      </c>
      <c r="L44" s="1" t="s">
        <v>25</v>
      </c>
      <c r="M44" s="1" t="s">
        <v>94</v>
      </c>
    </row>
    <row r="45" spans="1:16" x14ac:dyDescent="0.3">
      <c r="A45" s="1" t="s">
        <v>91</v>
      </c>
      <c r="B45" s="2">
        <v>549</v>
      </c>
      <c r="C45" s="4">
        <v>127</v>
      </c>
      <c r="D45" s="5">
        <v>0.76</v>
      </c>
      <c r="E45" s="1" t="s">
        <v>22</v>
      </c>
      <c r="F45" s="1" t="s">
        <v>15</v>
      </c>
      <c r="G45" s="1" t="s">
        <v>28</v>
      </c>
      <c r="H45" s="1" t="s">
        <v>24</v>
      </c>
      <c r="I45" s="1" t="s">
        <v>539</v>
      </c>
      <c r="J45" s="1" t="s">
        <v>25</v>
      </c>
      <c r="K45" s="2">
        <v>1</v>
      </c>
      <c r="L45" s="1" t="s">
        <v>25</v>
      </c>
      <c r="M45" s="1" t="s">
        <v>26</v>
      </c>
    </row>
    <row r="46" spans="1:16" x14ac:dyDescent="0.3">
      <c r="A46" s="1" t="s">
        <v>99</v>
      </c>
      <c r="B46" s="2">
        <v>599</v>
      </c>
      <c r="C46" s="4">
        <v>125</v>
      </c>
      <c r="D46" s="5">
        <v>0.79</v>
      </c>
      <c r="E46" s="1" t="s">
        <v>22</v>
      </c>
      <c r="F46" s="1" t="s">
        <v>15</v>
      </c>
      <c r="G46" s="1" t="s">
        <v>23</v>
      </c>
      <c r="H46" s="1" t="s">
        <v>24</v>
      </c>
      <c r="I46" s="1" t="s">
        <v>539</v>
      </c>
      <c r="J46" s="1" t="s">
        <v>25</v>
      </c>
      <c r="K46" s="2">
        <v>1</v>
      </c>
      <c r="L46" s="1" t="s">
        <v>25</v>
      </c>
      <c r="M46" s="1" t="s">
        <v>26</v>
      </c>
    </row>
    <row r="47" spans="1:16" x14ac:dyDescent="0.3">
      <c r="A47" s="1" t="s">
        <v>95</v>
      </c>
      <c r="B47" s="2">
        <v>399</v>
      </c>
      <c r="C47" s="4">
        <v>130</v>
      </c>
      <c r="D47" s="5">
        <v>0.67</v>
      </c>
      <c r="E47" s="1" t="s">
        <v>22</v>
      </c>
      <c r="F47" s="1" t="s">
        <v>15</v>
      </c>
      <c r="G47" s="1" t="s">
        <v>49</v>
      </c>
      <c r="H47" s="1" t="s">
        <v>24</v>
      </c>
      <c r="I47" s="1" t="s">
        <v>539</v>
      </c>
      <c r="J47" s="1" t="s">
        <v>25</v>
      </c>
      <c r="K47" s="2">
        <v>1</v>
      </c>
      <c r="L47" s="1" t="s">
        <v>25</v>
      </c>
      <c r="M47" s="1" t="s">
        <v>96</v>
      </c>
    </row>
    <row r="48" spans="1:16" x14ac:dyDescent="0.3">
      <c r="A48" s="1" t="s">
        <v>102</v>
      </c>
      <c r="B48" s="2">
        <v>499</v>
      </c>
      <c r="C48" s="4">
        <v>189</v>
      </c>
      <c r="D48" s="5">
        <v>0.62</v>
      </c>
      <c r="E48" s="1" t="s">
        <v>14</v>
      </c>
      <c r="F48" s="1" t="s">
        <v>15</v>
      </c>
      <c r="G48" s="1" t="s">
        <v>23</v>
      </c>
      <c r="H48" s="1" t="s">
        <v>24</v>
      </c>
      <c r="I48" s="1" t="s">
        <v>539</v>
      </c>
      <c r="J48" s="1" t="s">
        <v>25</v>
      </c>
      <c r="K48" s="2">
        <v>1</v>
      </c>
      <c r="L48" s="8" t="s">
        <v>25</v>
      </c>
      <c r="M48" s="1" t="s">
        <v>103</v>
      </c>
    </row>
    <row r="49" spans="1:13" x14ac:dyDescent="0.3">
      <c r="A49" s="1" t="s">
        <v>104</v>
      </c>
      <c r="B49" s="2">
        <v>199</v>
      </c>
      <c r="C49" s="4">
        <v>132</v>
      </c>
      <c r="D49" s="5">
        <v>0.33</v>
      </c>
      <c r="E49" s="1" t="s">
        <v>14</v>
      </c>
      <c r="F49" s="1" t="s">
        <v>15</v>
      </c>
      <c r="G49" s="1" t="s">
        <v>105</v>
      </c>
      <c r="H49" s="1" t="s">
        <v>17</v>
      </c>
      <c r="I49" s="1" t="s">
        <v>18</v>
      </c>
      <c r="J49" s="1" t="s">
        <v>25</v>
      </c>
      <c r="K49" s="2">
        <v>1</v>
      </c>
      <c r="L49" s="1" t="s">
        <v>25</v>
      </c>
      <c r="M49" s="1" t="s">
        <v>106</v>
      </c>
    </row>
    <row r="50" spans="1:13" x14ac:dyDescent="0.3">
      <c r="A50" s="1" t="s">
        <v>107</v>
      </c>
      <c r="B50" s="2">
        <v>499</v>
      </c>
      <c r="C50" s="4">
        <v>123</v>
      </c>
      <c r="D50" s="5">
        <v>0.75</v>
      </c>
      <c r="E50" s="1" t="s">
        <v>14</v>
      </c>
      <c r="F50" s="1" t="s">
        <v>15</v>
      </c>
      <c r="G50" s="1" t="s">
        <v>23</v>
      </c>
      <c r="H50" s="1" t="s">
        <v>17</v>
      </c>
      <c r="I50" s="1" t="s">
        <v>539</v>
      </c>
      <c r="J50" s="1" t="s">
        <v>19</v>
      </c>
      <c r="K50" s="2">
        <v>1</v>
      </c>
      <c r="L50" s="1" t="s">
        <v>25</v>
      </c>
      <c r="M50" s="1" t="s">
        <v>108</v>
      </c>
    </row>
    <row r="51" spans="1:13" x14ac:dyDescent="0.3">
      <c r="A51" s="1" t="s">
        <v>109</v>
      </c>
      <c r="B51" s="2">
        <v>489</v>
      </c>
      <c r="C51" s="4">
        <v>165</v>
      </c>
      <c r="D51" s="5">
        <v>0.66</v>
      </c>
      <c r="E51" s="1" t="s">
        <v>22</v>
      </c>
      <c r="F51" s="1" t="s">
        <v>15</v>
      </c>
      <c r="G51" s="1" t="s">
        <v>16</v>
      </c>
      <c r="H51" s="1" t="s">
        <v>17</v>
      </c>
      <c r="I51" s="1" t="s">
        <v>18</v>
      </c>
      <c r="J51" s="1" t="s">
        <v>25</v>
      </c>
      <c r="K51" s="2">
        <v>1</v>
      </c>
      <c r="L51" s="1" t="s">
        <v>25</v>
      </c>
      <c r="M51" s="1" t="s">
        <v>110</v>
      </c>
    </row>
    <row r="52" spans="1:13" x14ac:dyDescent="0.3">
      <c r="A52" s="1" t="s">
        <v>111</v>
      </c>
      <c r="B52" s="2">
        <v>399</v>
      </c>
      <c r="C52" s="4">
        <v>256</v>
      </c>
      <c r="D52" s="5">
        <v>0.35</v>
      </c>
      <c r="E52" s="1" t="s">
        <v>22</v>
      </c>
      <c r="F52" s="1" t="s">
        <v>15</v>
      </c>
      <c r="G52" s="1" t="s">
        <v>52</v>
      </c>
      <c r="H52" s="1" t="s">
        <v>24</v>
      </c>
      <c r="I52" s="1" t="s">
        <v>18</v>
      </c>
      <c r="J52" s="1" t="s">
        <v>25</v>
      </c>
      <c r="K52" s="2">
        <v>1</v>
      </c>
      <c r="L52" s="1" t="s">
        <v>19</v>
      </c>
      <c r="M52" s="1" t="s">
        <v>112</v>
      </c>
    </row>
    <row r="53" spans="1:13" x14ac:dyDescent="0.3">
      <c r="A53" s="1" t="s">
        <v>113</v>
      </c>
      <c r="B53" s="2">
        <v>904</v>
      </c>
      <c r="C53" s="4">
        <v>196</v>
      </c>
      <c r="D53" s="5">
        <v>0.78</v>
      </c>
      <c r="E53" s="1" t="s">
        <v>14</v>
      </c>
      <c r="F53" s="1" t="s">
        <v>15</v>
      </c>
      <c r="G53" s="1" t="s">
        <v>23</v>
      </c>
      <c r="H53" s="1" t="s">
        <v>17</v>
      </c>
      <c r="I53" s="1" t="s">
        <v>539</v>
      </c>
      <c r="J53" s="1" t="s">
        <v>19</v>
      </c>
      <c r="K53" s="2">
        <v>1</v>
      </c>
      <c r="L53" s="1" t="s">
        <v>19</v>
      </c>
      <c r="M53" s="1" t="s">
        <v>96</v>
      </c>
    </row>
    <row r="54" spans="1:13" x14ac:dyDescent="0.3">
      <c r="A54" s="1" t="s">
        <v>114</v>
      </c>
      <c r="B54" s="2">
        <v>599</v>
      </c>
      <c r="C54" s="4">
        <v>125</v>
      </c>
      <c r="D54" s="5">
        <v>0.79</v>
      </c>
      <c r="E54" s="1" t="s">
        <v>22</v>
      </c>
      <c r="F54" s="1" t="s">
        <v>15</v>
      </c>
      <c r="G54" s="1" t="s">
        <v>36</v>
      </c>
      <c r="H54" s="1" t="s">
        <v>24</v>
      </c>
      <c r="I54" s="1" t="s">
        <v>539</v>
      </c>
      <c r="J54" s="1" t="s">
        <v>25</v>
      </c>
      <c r="K54" s="2">
        <v>1</v>
      </c>
      <c r="L54" s="1" t="s">
        <v>25</v>
      </c>
      <c r="M54" s="1" t="s">
        <v>26</v>
      </c>
    </row>
    <row r="55" spans="1:13" x14ac:dyDescent="0.3">
      <c r="A55" s="1" t="s">
        <v>115</v>
      </c>
      <c r="B55" s="2">
        <v>350</v>
      </c>
      <c r="C55" s="4">
        <v>126</v>
      </c>
      <c r="D55" s="5">
        <v>0.64</v>
      </c>
      <c r="E55" s="1" t="s">
        <v>14</v>
      </c>
      <c r="F55" s="1" t="s">
        <v>15</v>
      </c>
      <c r="G55" s="1" t="s">
        <v>28</v>
      </c>
      <c r="H55" s="1" t="s">
        <v>24</v>
      </c>
      <c r="I55" s="1" t="s">
        <v>539</v>
      </c>
      <c r="J55" s="1" t="s">
        <v>25</v>
      </c>
      <c r="K55" s="2">
        <v>1</v>
      </c>
      <c r="L55" s="1" t="s">
        <v>25</v>
      </c>
      <c r="M55" s="1" t="s">
        <v>103</v>
      </c>
    </row>
    <row r="56" spans="1:13" x14ac:dyDescent="0.3">
      <c r="A56" s="1" t="s">
        <v>116</v>
      </c>
      <c r="B56" s="2">
        <v>799</v>
      </c>
      <c r="C56" s="4">
        <v>381</v>
      </c>
      <c r="D56" s="5">
        <v>0.52</v>
      </c>
      <c r="E56" s="1" t="s">
        <v>14</v>
      </c>
      <c r="F56" s="1" t="s">
        <v>15</v>
      </c>
      <c r="G56" s="1" t="s">
        <v>52</v>
      </c>
      <c r="H56" s="1" t="s">
        <v>24</v>
      </c>
      <c r="I56" s="1" t="s">
        <v>539</v>
      </c>
      <c r="J56" s="1" t="s">
        <v>25</v>
      </c>
      <c r="K56" s="2">
        <v>24</v>
      </c>
      <c r="L56" s="1" t="s">
        <v>19</v>
      </c>
      <c r="M56" s="1" t="s">
        <v>117</v>
      </c>
    </row>
    <row r="57" spans="1:13" x14ac:dyDescent="0.3">
      <c r="A57" s="1" t="s">
        <v>118</v>
      </c>
      <c r="B57" s="2">
        <v>299</v>
      </c>
      <c r="C57" s="4">
        <v>114</v>
      </c>
      <c r="D57" s="5">
        <v>0.61</v>
      </c>
      <c r="E57" s="1" t="s">
        <v>22</v>
      </c>
      <c r="F57" s="1" t="s">
        <v>15</v>
      </c>
      <c r="G57" s="1" t="s">
        <v>49</v>
      </c>
      <c r="H57" s="1" t="s">
        <v>24</v>
      </c>
      <c r="I57" s="1" t="s">
        <v>539</v>
      </c>
      <c r="J57" s="1" t="s">
        <v>19</v>
      </c>
      <c r="K57" s="2">
        <v>1</v>
      </c>
      <c r="L57" s="1" t="s">
        <v>25</v>
      </c>
      <c r="M57" s="1" t="s">
        <v>72</v>
      </c>
    </row>
    <row r="58" spans="1:13" x14ac:dyDescent="0.3">
      <c r="A58" s="1" t="s">
        <v>119</v>
      </c>
      <c r="B58" s="2">
        <v>249</v>
      </c>
      <c r="C58" s="4">
        <v>120</v>
      </c>
      <c r="D58" s="5">
        <v>0.51</v>
      </c>
      <c r="E58" s="1" t="s">
        <v>22</v>
      </c>
      <c r="F58" s="1" t="s">
        <v>15</v>
      </c>
      <c r="G58" s="1" t="s">
        <v>36</v>
      </c>
      <c r="H58" s="1" t="s">
        <v>17</v>
      </c>
      <c r="I58" s="1" t="s">
        <v>539</v>
      </c>
      <c r="J58" s="1" t="s">
        <v>25</v>
      </c>
      <c r="K58" s="2">
        <v>1</v>
      </c>
      <c r="L58" s="1" t="s">
        <v>25</v>
      </c>
      <c r="M58" s="1" t="s">
        <v>120</v>
      </c>
    </row>
    <row r="59" spans="1:13" x14ac:dyDescent="0.3">
      <c r="A59" s="1" t="s">
        <v>121</v>
      </c>
      <c r="B59" s="2">
        <v>499</v>
      </c>
      <c r="C59" s="4">
        <v>399</v>
      </c>
      <c r="D59" s="5">
        <v>0.68</v>
      </c>
      <c r="E59" s="1" t="s">
        <v>22</v>
      </c>
      <c r="F59" s="1" t="s">
        <v>15</v>
      </c>
      <c r="G59" s="1" t="s">
        <v>28</v>
      </c>
      <c r="H59" s="1" t="s">
        <v>17</v>
      </c>
      <c r="I59" s="1" t="s">
        <v>539</v>
      </c>
      <c r="J59" s="1" t="s">
        <v>19</v>
      </c>
      <c r="K59" s="2">
        <v>1</v>
      </c>
      <c r="L59" s="1" t="s">
        <v>25</v>
      </c>
      <c r="M59" s="1" t="s">
        <v>39</v>
      </c>
    </row>
    <row r="60" spans="1:13" x14ac:dyDescent="0.3">
      <c r="A60" s="1" t="s">
        <v>122</v>
      </c>
      <c r="B60" s="2">
        <v>449</v>
      </c>
      <c r="C60" s="4">
        <v>299</v>
      </c>
      <c r="D60" s="5">
        <v>0.33</v>
      </c>
      <c r="E60" s="1" t="s">
        <v>22</v>
      </c>
      <c r="F60" s="1" t="s">
        <v>15</v>
      </c>
      <c r="G60" s="1" t="s">
        <v>46</v>
      </c>
      <c r="H60" s="1" t="s">
        <v>24</v>
      </c>
      <c r="I60" s="1" t="s">
        <v>18</v>
      </c>
      <c r="J60" s="1" t="s">
        <v>19</v>
      </c>
      <c r="K60" s="2">
        <v>1</v>
      </c>
      <c r="L60" s="1" t="s">
        <v>25</v>
      </c>
      <c r="M60" s="1" t="s">
        <v>53</v>
      </c>
    </row>
    <row r="61" spans="1:13" x14ac:dyDescent="0.3">
      <c r="A61" s="1" t="s">
        <v>123</v>
      </c>
      <c r="B61" s="2">
        <v>499</v>
      </c>
      <c r="C61" s="4">
        <v>139</v>
      </c>
      <c r="D61" s="5">
        <v>0.72</v>
      </c>
      <c r="E61" s="1" t="s">
        <v>14</v>
      </c>
      <c r="F61" s="1" t="s">
        <v>15</v>
      </c>
      <c r="G61" s="1" t="s">
        <v>16</v>
      </c>
      <c r="H61" s="1" t="s">
        <v>24</v>
      </c>
      <c r="I61" s="1" t="s">
        <v>539</v>
      </c>
      <c r="J61" s="1" t="s">
        <v>25</v>
      </c>
      <c r="K61" s="2">
        <v>1</v>
      </c>
      <c r="L61" s="1" t="s">
        <v>25</v>
      </c>
      <c r="M61" s="1" t="s">
        <v>103</v>
      </c>
    </row>
    <row r="62" spans="1:13" x14ac:dyDescent="0.3">
      <c r="A62" s="1" t="s">
        <v>124</v>
      </c>
      <c r="B62" s="2">
        <v>599</v>
      </c>
      <c r="C62" s="4">
        <v>226</v>
      </c>
      <c r="D62" s="5">
        <v>0.62</v>
      </c>
      <c r="E62" s="1" t="s">
        <v>14</v>
      </c>
      <c r="F62" s="1" t="s">
        <v>15</v>
      </c>
      <c r="G62" s="1" t="s">
        <v>36</v>
      </c>
      <c r="H62" s="1" t="s">
        <v>17</v>
      </c>
      <c r="I62" s="1" t="s">
        <v>539</v>
      </c>
      <c r="J62" s="1" t="s">
        <v>25</v>
      </c>
      <c r="K62" s="2">
        <v>1</v>
      </c>
      <c r="L62" s="1" t="s">
        <v>25</v>
      </c>
      <c r="M62" s="1" t="s">
        <v>125</v>
      </c>
    </row>
    <row r="63" spans="1:13" x14ac:dyDescent="0.3">
      <c r="A63" s="1" t="s">
        <v>126</v>
      </c>
      <c r="B63" s="2">
        <v>589</v>
      </c>
      <c r="C63" s="4">
        <v>125</v>
      </c>
      <c r="D63" s="5">
        <v>0.78</v>
      </c>
      <c r="E63" s="1" t="s">
        <v>22</v>
      </c>
      <c r="F63" s="1" t="s">
        <v>15</v>
      </c>
      <c r="G63" s="1" t="s">
        <v>16</v>
      </c>
      <c r="H63" s="1" t="s">
        <v>24</v>
      </c>
      <c r="I63" s="8" t="s">
        <v>539</v>
      </c>
      <c r="J63" s="1" t="s">
        <v>25</v>
      </c>
      <c r="K63" s="2">
        <v>1</v>
      </c>
      <c r="L63" s="1" t="s">
        <v>25</v>
      </c>
      <c r="M63" s="1" t="s">
        <v>127</v>
      </c>
    </row>
    <row r="64" spans="1:13" x14ac:dyDescent="0.3">
      <c r="A64" s="1" t="s">
        <v>128</v>
      </c>
      <c r="B64" s="2">
        <v>408</v>
      </c>
      <c r="C64" s="4">
        <v>118</v>
      </c>
      <c r="D64" s="5">
        <v>0.71</v>
      </c>
      <c r="E64" s="1" t="s">
        <v>14</v>
      </c>
      <c r="F64" s="1" t="s">
        <v>15</v>
      </c>
      <c r="G64" s="1" t="s">
        <v>23</v>
      </c>
      <c r="H64" s="1" t="s">
        <v>17</v>
      </c>
      <c r="I64" s="1" t="s">
        <v>539</v>
      </c>
      <c r="J64" s="1" t="s">
        <v>25</v>
      </c>
      <c r="K64" s="2">
        <v>1</v>
      </c>
      <c r="L64" s="1" t="s">
        <v>25</v>
      </c>
      <c r="M64" s="1" t="s">
        <v>26</v>
      </c>
    </row>
    <row r="65" spans="1:13" x14ac:dyDescent="0.3">
      <c r="A65" s="1" t="s">
        <v>129</v>
      </c>
      <c r="B65" s="2">
        <v>398</v>
      </c>
      <c r="C65" s="4">
        <v>118</v>
      </c>
      <c r="D65" s="5">
        <v>0.7</v>
      </c>
      <c r="E65" s="1" t="s">
        <v>22</v>
      </c>
      <c r="F65" s="1" t="s">
        <v>15</v>
      </c>
      <c r="G65" s="1" t="s">
        <v>36</v>
      </c>
      <c r="H65" s="1" t="s">
        <v>17</v>
      </c>
      <c r="I65" s="1" t="s">
        <v>539</v>
      </c>
      <c r="J65" s="1" t="s">
        <v>25</v>
      </c>
      <c r="K65" s="2">
        <v>1</v>
      </c>
      <c r="L65" s="1" t="s">
        <v>25</v>
      </c>
      <c r="M65" s="1" t="s">
        <v>130</v>
      </c>
    </row>
    <row r="66" spans="1:13" x14ac:dyDescent="0.3">
      <c r="A66" s="1" t="s">
        <v>131</v>
      </c>
      <c r="B66" s="2">
        <v>499</v>
      </c>
      <c r="C66" s="4">
        <v>149</v>
      </c>
      <c r="D66" s="5">
        <v>0.7</v>
      </c>
      <c r="E66" s="1" t="s">
        <v>22</v>
      </c>
      <c r="F66" s="1" t="s">
        <v>15</v>
      </c>
      <c r="G66" s="1" t="s">
        <v>16</v>
      </c>
      <c r="H66" s="1" t="s">
        <v>17</v>
      </c>
      <c r="I66" s="1" t="s">
        <v>18</v>
      </c>
      <c r="J66" s="1" t="s">
        <v>19</v>
      </c>
      <c r="K66" s="2">
        <v>1</v>
      </c>
      <c r="L66" s="1" t="s">
        <v>19</v>
      </c>
      <c r="M66" s="1" t="s">
        <v>132</v>
      </c>
    </row>
    <row r="67" spans="1:13" x14ac:dyDescent="0.3">
      <c r="A67" s="1" t="s">
        <v>133</v>
      </c>
      <c r="B67" s="2">
        <v>270</v>
      </c>
      <c r="C67" s="4">
        <v>132</v>
      </c>
      <c r="D67" s="5">
        <v>0.51</v>
      </c>
      <c r="E67" s="1" t="s">
        <v>22</v>
      </c>
      <c r="F67" s="1" t="s">
        <v>15</v>
      </c>
      <c r="G67" s="1" t="s">
        <v>28</v>
      </c>
      <c r="H67" s="1" t="s">
        <v>17</v>
      </c>
      <c r="I67" s="1" t="s">
        <v>539</v>
      </c>
      <c r="J67" s="1" t="s">
        <v>19</v>
      </c>
      <c r="K67" s="2">
        <v>0.2</v>
      </c>
      <c r="L67" s="1" t="s">
        <v>25</v>
      </c>
      <c r="M67" s="1" t="s">
        <v>134</v>
      </c>
    </row>
    <row r="68" spans="1:13" x14ac:dyDescent="0.3">
      <c r="A68" s="1" t="s">
        <v>135</v>
      </c>
      <c r="B68" s="2">
        <v>249</v>
      </c>
      <c r="C68" s="4">
        <v>119</v>
      </c>
      <c r="D68" s="5">
        <v>0.52</v>
      </c>
      <c r="E68" s="1" t="s">
        <v>22</v>
      </c>
      <c r="F68" s="1" t="s">
        <v>15</v>
      </c>
      <c r="G68" s="1" t="s">
        <v>28</v>
      </c>
      <c r="H68" s="1" t="s">
        <v>17</v>
      </c>
      <c r="I68" s="1" t="s">
        <v>539</v>
      </c>
      <c r="J68" s="1" t="s">
        <v>25</v>
      </c>
      <c r="K68" s="2">
        <v>1</v>
      </c>
      <c r="L68" s="8" t="s">
        <v>25</v>
      </c>
      <c r="M68" s="1" t="s">
        <v>136</v>
      </c>
    </row>
    <row r="69" spans="1:13" x14ac:dyDescent="0.3">
      <c r="A69" s="1" t="s">
        <v>137</v>
      </c>
      <c r="B69" s="2">
        <v>489</v>
      </c>
      <c r="C69" s="4">
        <v>149</v>
      </c>
      <c r="D69" s="5">
        <v>0.69</v>
      </c>
      <c r="E69" s="1" t="s">
        <v>14</v>
      </c>
      <c r="F69" s="1" t="s">
        <v>15</v>
      </c>
      <c r="G69" s="1" t="s">
        <v>36</v>
      </c>
      <c r="H69" s="1" t="s">
        <v>24</v>
      </c>
      <c r="I69" s="1" t="s">
        <v>539</v>
      </c>
      <c r="J69" s="1" t="s">
        <v>25</v>
      </c>
      <c r="K69" s="2">
        <v>1</v>
      </c>
      <c r="L69" s="1" t="s">
        <v>25</v>
      </c>
      <c r="M69" s="1" t="s">
        <v>103</v>
      </c>
    </row>
    <row r="70" spans="1:13" x14ac:dyDescent="0.3">
      <c r="A70" s="1" t="s">
        <v>138</v>
      </c>
      <c r="B70" s="2">
        <v>229</v>
      </c>
      <c r="C70" s="4">
        <v>120</v>
      </c>
      <c r="D70" s="5">
        <v>0.47</v>
      </c>
      <c r="E70" s="1" t="s">
        <v>22</v>
      </c>
      <c r="F70" s="1" t="s">
        <v>15</v>
      </c>
      <c r="G70" s="1" t="s">
        <v>28</v>
      </c>
      <c r="H70" s="1" t="s">
        <v>17</v>
      </c>
      <c r="I70" s="1" t="s">
        <v>539</v>
      </c>
      <c r="J70" s="1" t="s">
        <v>19</v>
      </c>
      <c r="K70" s="2">
        <v>0.9</v>
      </c>
      <c r="L70" s="1" t="s">
        <v>25</v>
      </c>
      <c r="M70" s="1" t="s">
        <v>139</v>
      </c>
    </row>
    <row r="71" spans="1:13" x14ac:dyDescent="0.3">
      <c r="A71" s="1" t="s">
        <v>140</v>
      </c>
      <c r="B71" s="2">
        <v>399</v>
      </c>
      <c r="C71" s="4">
        <v>160</v>
      </c>
      <c r="D71" s="5">
        <v>0.59</v>
      </c>
      <c r="E71" s="1" t="s">
        <v>22</v>
      </c>
      <c r="F71" s="1" t="s">
        <v>15</v>
      </c>
      <c r="G71" s="1" t="s">
        <v>141</v>
      </c>
      <c r="H71" s="1" t="s">
        <v>17</v>
      </c>
      <c r="I71" s="1" t="s">
        <v>18</v>
      </c>
      <c r="J71" s="1" t="s">
        <v>19</v>
      </c>
      <c r="K71" s="2">
        <v>1</v>
      </c>
      <c r="L71" s="1" t="s">
        <v>19</v>
      </c>
      <c r="M71" s="1" t="s">
        <v>142</v>
      </c>
    </row>
    <row r="72" spans="1:13" x14ac:dyDescent="0.3">
      <c r="A72" s="1" t="s">
        <v>143</v>
      </c>
      <c r="B72" s="2">
        <v>499</v>
      </c>
      <c r="C72" s="4">
        <v>135</v>
      </c>
      <c r="D72" s="5">
        <v>0.72</v>
      </c>
      <c r="E72" s="1" t="s">
        <v>22</v>
      </c>
      <c r="F72" s="1" t="s">
        <v>15</v>
      </c>
      <c r="G72" s="1" t="s">
        <v>23</v>
      </c>
      <c r="H72" s="1" t="s">
        <v>17</v>
      </c>
      <c r="I72" s="8" t="s">
        <v>539</v>
      </c>
      <c r="J72" s="1" t="s">
        <v>25</v>
      </c>
      <c r="K72" s="2">
        <v>1</v>
      </c>
      <c r="L72" s="1" t="s">
        <v>25</v>
      </c>
      <c r="M72" s="1" t="s">
        <v>39</v>
      </c>
    </row>
    <row r="73" spans="1:13" x14ac:dyDescent="0.3">
      <c r="A73" s="1" t="s">
        <v>144</v>
      </c>
      <c r="B73" s="2">
        <v>699</v>
      </c>
      <c r="C73" s="4">
        <v>127</v>
      </c>
      <c r="D73" s="5">
        <v>0.81</v>
      </c>
      <c r="E73" s="1" t="s">
        <v>22</v>
      </c>
      <c r="F73" s="1" t="s">
        <v>15</v>
      </c>
      <c r="G73" s="1" t="s">
        <v>141</v>
      </c>
      <c r="H73" s="1" t="s">
        <v>17</v>
      </c>
      <c r="I73" s="1" t="s">
        <v>539</v>
      </c>
      <c r="J73" s="1" t="s">
        <v>19</v>
      </c>
      <c r="K73" s="2">
        <v>1.5</v>
      </c>
      <c r="L73" s="1" t="s">
        <v>25</v>
      </c>
      <c r="M73" s="1" t="s">
        <v>145</v>
      </c>
    </row>
    <row r="74" spans="1:13" x14ac:dyDescent="0.3">
      <c r="A74" s="1" t="s">
        <v>146</v>
      </c>
      <c r="B74" s="2">
        <v>499</v>
      </c>
      <c r="C74" s="4">
        <v>122</v>
      </c>
      <c r="D74" s="5">
        <v>0.75</v>
      </c>
      <c r="E74" s="1" t="s">
        <v>14</v>
      </c>
      <c r="F74" s="1" t="s">
        <v>15</v>
      </c>
      <c r="G74" s="1" t="s">
        <v>23</v>
      </c>
      <c r="H74" s="1" t="s">
        <v>24</v>
      </c>
      <c r="I74" s="1" t="s">
        <v>539</v>
      </c>
      <c r="J74" s="1" t="s">
        <v>25</v>
      </c>
      <c r="K74" s="2">
        <v>1</v>
      </c>
      <c r="L74" s="1" t="s">
        <v>25</v>
      </c>
      <c r="M74" s="1" t="s">
        <v>147</v>
      </c>
    </row>
    <row r="75" spans="1:13" x14ac:dyDescent="0.3">
      <c r="A75" s="1" t="s">
        <v>148</v>
      </c>
      <c r="B75" s="2">
        <v>339</v>
      </c>
      <c r="C75" s="4">
        <v>115</v>
      </c>
      <c r="D75" s="5">
        <v>0.66</v>
      </c>
      <c r="E75" s="1" t="s">
        <v>22</v>
      </c>
      <c r="F75" s="1" t="s">
        <v>15</v>
      </c>
      <c r="G75" s="1" t="s">
        <v>28</v>
      </c>
      <c r="H75" s="1" t="s">
        <v>17</v>
      </c>
      <c r="I75" s="1" t="s">
        <v>539</v>
      </c>
      <c r="J75" s="1" t="s">
        <v>19</v>
      </c>
      <c r="K75" s="2">
        <v>1</v>
      </c>
      <c r="L75" s="1" t="s">
        <v>25</v>
      </c>
      <c r="M75" s="1" t="s">
        <v>149</v>
      </c>
    </row>
    <row r="76" spans="1:13" x14ac:dyDescent="0.3">
      <c r="A76" s="1" t="s">
        <v>150</v>
      </c>
      <c r="B76" s="2">
        <v>399</v>
      </c>
      <c r="C76" s="4">
        <v>118</v>
      </c>
      <c r="D76" s="5">
        <v>0.7</v>
      </c>
      <c r="E76" s="1" t="s">
        <v>22</v>
      </c>
      <c r="F76" s="1" t="s">
        <v>15</v>
      </c>
      <c r="G76" s="1" t="s">
        <v>36</v>
      </c>
      <c r="H76" s="1" t="s">
        <v>24</v>
      </c>
      <c r="I76" s="1" t="s">
        <v>539</v>
      </c>
      <c r="J76" s="1" t="s">
        <v>19</v>
      </c>
      <c r="K76" s="2">
        <v>1</v>
      </c>
      <c r="L76" s="1" t="s">
        <v>19</v>
      </c>
      <c r="M76" s="1" t="s">
        <v>151</v>
      </c>
    </row>
    <row r="77" spans="1:13" x14ac:dyDescent="0.3">
      <c r="A77" s="1" t="s">
        <v>152</v>
      </c>
      <c r="B77" s="2">
        <v>499</v>
      </c>
      <c r="C77" s="4">
        <v>122</v>
      </c>
      <c r="D77" s="5">
        <v>0.75</v>
      </c>
      <c r="E77" s="1" t="s">
        <v>22</v>
      </c>
      <c r="F77" s="1" t="s">
        <v>15</v>
      </c>
      <c r="G77" s="1" t="s">
        <v>23</v>
      </c>
      <c r="H77" s="1" t="s">
        <v>17</v>
      </c>
      <c r="I77" s="1" t="s">
        <v>539</v>
      </c>
      <c r="J77" s="1" t="s">
        <v>19</v>
      </c>
      <c r="K77" s="2">
        <v>1</v>
      </c>
      <c r="L77" s="1" t="s">
        <v>25</v>
      </c>
      <c r="M77" s="1" t="s">
        <v>39</v>
      </c>
    </row>
    <row r="78" spans="1:13" x14ac:dyDescent="0.3">
      <c r="A78" s="1" t="s">
        <v>153</v>
      </c>
      <c r="B78" s="2">
        <v>399</v>
      </c>
      <c r="C78" s="4">
        <v>125</v>
      </c>
      <c r="D78" s="5">
        <v>0.68</v>
      </c>
      <c r="E78" s="1" t="s">
        <v>14</v>
      </c>
      <c r="F78" s="1" t="s">
        <v>15</v>
      </c>
      <c r="G78" s="1" t="s">
        <v>52</v>
      </c>
      <c r="H78" s="1" t="s">
        <v>17</v>
      </c>
      <c r="I78" s="1" t="s">
        <v>539</v>
      </c>
      <c r="J78" s="1" t="s">
        <v>25</v>
      </c>
      <c r="K78" s="2">
        <v>1</v>
      </c>
      <c r="L78" s="1" t="s">
        <v>25</v>
      </c>
      <c r="M78" s="1" t="s">
        <v>33</v>
      </c>
    </row>
    <row r="79" spans="1:13" x14ac:dyDescent="0.3">
      <c r="A79" s="1" t="s">
        <v>154</v>
      </c>
      <c r="B79" s="2">
        <v>250</v>
      </c>
      <c r="C79" s="4">
        <v>120</v>
      </c>
      <c r="D79" s="5">
        <v>0.52</v>
      </c>
      <c r="E79" s="1" t="s">
        <v>22</v>
      </c>
      <c r="F79" s="1" t="s">
        <v>15</v>
      </c>
      <c r="G79" s="1" t="s">
        <v>23</v>
      </c>
      <c r="H79" s="1" t="s">
        <v>17</v>
      </c>
      <c r="I79" s="1" t="s">
        <v>539</v>
      </c>
      <c r="J79" s="1" t="s">
        <v>19</v>
      </c>
      <c r="K79" s="2">
        <v>1</v>
      </c>
      <c r="L79" s="1" t="s">
        <v>25</v>
      </c>
      <c r="M79" s="1" t="s">
        <v>75</v>
      </c>
    </row>
    <row r="80" spans="1:13" x14ac:dyDescent="0.3">
      <c r="A80" s="1" t="s">
        <v>128</v>
      </c>
      <c r="B80" s="2">
        <v>599</v>
      </c>
      <c r="C80" s="4">
        <v>117</v>
      </c>
      <c r="D80" s="5">
        <v>0.8</v>
      </c>
      <c r="E80" s="1" t="s">
        <v>22</v>
      </c>
      <c r="F80" s="1" t="s">
        <v>15</v>
      </c>
      <c r="G80" s="1" t="s">
        <v>23</v>
      </c>
      <c r="H80" s="1" t="s">
        <v>24</v>
      </c>
      <c r="I80" s="1" t="s">
        <v>539</v>
      </c>
      <c r="J80" s="1" t="s">
        <v>25</v>
      </c>
      <c r="K80" s="2">
        <v>1</v>
      </c>
      <c r="L80" s="1" t="s">
        <v>25</v>
      </c>
      <c r="M80" s="1" t="s">
        <v>26</v>
      </c>
    </row>
    <row r="81" spans="1:13" x14ac:dyDescent="0.3">
      <c r="A81" s="1" t="s">
        <v>155</v>
      </c>
      <c r="B81" s="2">
        <v>399</v>
      </c>
      <c r="C81" s="4">
        <v>134</v>
      </c>
      <c r="D81" s="5">
        <v>0.66</v>
      </c>
      <c r="E81" s="1" t="s">
        <v>22</v>
      </c>
      <c r="F81" s="1" t="s">
        <v>15</v>
      </c>
      <c r="G81" s="1" t="s">
        <v>28</v>
      </c>
      <c r="H81" s="1" t="s">
        <v>24</v>
      </c>
      <c r="I81" s="1" t="s">
        <v>539</v>
      </c>
      <c r="J81" s="1" t="s">
        <v>19</v>
      </c>
      <c r="K81" s="2">
        <v>1</v>
      </c>
      <c r="L81" s="1" t="s">
        <v>25</v>
      </c>
      <c r="M81" s="1" t="s">
        <v>31</v>
      </c>
    </row>
    <row r="82" spans="1:13" x14ac:dyDescent="0.3">
      <c r="A82" s="1" t="s">
        <v>156</v>
      </c>
      <c r="B82" s="2">
        <v>599</v>
      </c>
      <c r="C82" s="4">
        <v>135</v>
      </c>
      <c r="D82" s="5">
        <v>0.77</v>
      </c>
      <c r="E82" s="1" t="s">
        <v>22</v>
      </c>
      <c r="F82" s="1" t="s">
        <v>15</v>
      </c>
      <c r="G82" s="1" t="s">
        <v>23</v>
      </c>
      <c r="H82" s="1" t="s">
        <v>24</v>
      </c>
      <c r="I82" s="1" t="s">
        <v>539</v>
      </c>
      <c r="J82" s="1" t="s">
        <v>25</v>
      </c>
      <c r="K82" s="2">
        <v>1</v>
      </c>
      <c r="L82" s="1" t="s">
        <v>25</v>
      </c>
      <c r="M82" s="1" t="s">
        <v>26</v>
      </c>
    </row>
    <row r="83" spans="1:13" x14ac:dyDescent="0.3">
      <c r="A83" s="1" t="s">
        <v>157</v>
      </c>
      <c r="B83" s="2">
        <v>799</v>
      </c>
      <c r="C83" s="4">
        <v>146</v>
      </c>
      <c r="D83" s="5">
        <v>0.81</v>
      </c>
      <c r="E83" s="1" t="s">
        <v>22</v>
      </c>
      <c r="F83" s="1" t="s">
        <v>15</v>
      </c>
      <c r="G83" s="1" t="s">
        <v>141</v>
      </c>
      <c r="H83" s="1" t="s">
        <v>24</v>
      </c>
      <c r="I83" s="1" t="s">
        <v>539</v>
      </c>
      <c r="J83" s="1" t="s">
        <v>19</v>
      </c>
      <c r="K83" s="2">
        <v>0.2</v>
      </c>
      <c r="L83" s="1" t="s">
        <v>25</v>
      </c>
      <c r="M83" s="1" t="s">
        <v>158</v>
      </c>
    </row>
    <row r="84" spans="1:13" x14ac:dyDescent="0.3">
      <c r="A84" s="1" t="s">
        <v>159</v>
      </c>
      <c r="B84" s="2">
        <v>432</v>
      </c>
      <c r="C84" s="4">
        <v>135</v>
      </c>
      <c r="D84" s="5">
        <v>0.68</v>
      </c>
      <c r="E84" s="1" t="s">
        <v>22</v>
      </c>
      <c r="F84" s="1" t="s">
        <v>15</v>
      </c>
      <c r="G84" s="1" t="s">
        <v>16</v>
      </c>
      <c r="H84" s="1" t="s">
        <v>17</v>
      </c>
      <c r="I84" s="1" t="s">
        <v>539</v>
      </c>
      <c r="J84" s="1" t="s">
        <v>25</v>
      </c>
      <c r="K84" s="2">
        <v>1</v>
      </c>
      <c r="L84" s="1" t="s">
        <v>25</v>
      </c>
      <c r="M84" s="1" t="s">
        <v>160</v>
      </c>
    </row>
    <row r="85" spans="1:13" x14ac:dyDescent="0.3">
      <c r="A85" s="1" t="s">
        <v>161</v>
      </c>
      <c r="B85" s="2">
        <v>499</v>
      </c>
      <c r="C85" s="4">
        <v>119</v>
      </c>
      <c r="D85" s="5">
        <v>0.76</v>
      </c>
      <c r="E85" s="1" t="s">
        <v>22</v>
      </c>
      <c r="F85" s="1" t="s">
        <v>15</v>
      </c>
      <c r="G85" s="1" t="s">
        <v>28</v>
      </c>
      <c r="H85" s="1" t="s">
        <v>17</v>
      </c>
      <c r="I85" s="1" t="s">
        <v>539</v>
      </c>
      <c r="J85" s="1" t="s">
        <v>19</v>
      </c>
      <c r="K85" s="2">
        <v>1</v>
      </c>
      <c r="L85" s="1" t="s">
        <v>25</v>
      </c>
      <c r="M85" s="1" t="s">
        <v>39</v>
      </c>
    </row>
    <row r="86" spans="1:13" x14ac:dyDescent="0.3">
      <c r="A86" s="1" t="s">
        <v>162</v>
      </c>
      <c r="B86" s="2">
        <v>153</v>
      </c>
      <c r="C86" s="4">
        <v>112</v>
      </c>
      <c r="D86" s="5">
        <v>0.26</v>
      </c>
      <c r="E86" s="1" t="s">
        <v>22</v>
      </c>
      <c r="F86" s="1" t="s">
        <v>15</v>
      </c>
      <c r="G86" s="1" t="s">
        <v>28</v>
      </c>
      <c r="H86" s="1" t="s">
        <v>24</v>
      </c>
      <c r="I86" s="1" t="s">
        <v>539</v>
      </c>
      <c r="J86" s="1" t="s">
        <v>25</v>
      </c>
      <c r="K86" s="2">
        <v>1</v>
      </c>
      <c r="L86" s="1" t="s">
        <v>25</v>
      </c>
      <c r="M86" s="1" t="s">
        <v>163</v>
      </c>
    </row>
    <row r="87" spans="1:13" x14ac:dyDescent="0.3">
      <c r="A87" s="1" t="s">
        <v>164</v>
      </c>
      <c r="B87" s="2">
        <v>999</v>
      </c>
      <c r="C87" s="4">
        <v>146</v>
      </c>
      <c r="D87" s="5">
        <v>0.85</v>
      </c>
      <c r="E87" s="1" t="s">
        <v>22</v>
      </c>
      <c r="F87" s="1" t="s">
        <v>15</v>
      </c>
      <c r="G87" s="1" t="s">
        <v>16</v>
      </c>
      <c r="H87" s="1" t="s">
        <v>17</v>
      </c>
      <c r="I87" s="8" t="s">
        <v>539</v>
      </c>
      <c r="J87" s="1" t="s">
        <v>25</v>
      </c>
      <c r="K87" s="2">
        <v>1</v>
      </c>
      <c r="L87" s="1" t="s">
        <v>25</v>
      </c>
      <c r="M87" s="1" t="s">
        <v>165</v>
      </c>
    </row>
    <row r="88" spans="1:13" x14ac:dyDescent="0.3">
      <c r="A88" s="1" t="s">
        <v>166</v>
      </c>
      <c r="B88" s="2">
        <v>799</v>
      </c>
      <c r="C88" s="4">
        <v>399</v>
      </c>
      <c r="D88" s="5">
        <v>0.5</v>
      </c>
      <c r="E88" s="1" t="s">
        <v>22</v>
      </c>
      <c r="F88" s="1" t="s">
        <v>15</v>
      </c>
      <c r="G88" s="1" t="s">
        <v>167</v>
      </c>
      <c r="H88" s="1" t="s">
        <v>17</v>
      </c>
      <c r="I88" s="1" t="s">
        <v>539</v>
      </c>
      <c r="J88" s="1" t="s">
        <v>19</v>
      </c>
      <c r="K88" s="2">
        <v>1</v>
      </c>
      <c r="L88" s="1" t="s">
        <v>25</v>
      </c>
      <c r="M88" s="1" t="s">
        <v>168</v>
      </c>
    </row>
    <row r="89" spans="1:13" x14ac:dyDescent="0.3">
      <c r="A89" s="1" t="s">
        <v>169</v>
      </c>
      <c r="B89" s="2">
        <v>499</v>
      </c>
      <c r="C89" s="4">
        <v>191</v>
      </c>
      <c r="D89" s="5">
        <v>0.61</v>
      </c>
      <c r="E89" s="1" t="s">
        <v>22</v>
      </c>
      <c r="F89" s="1" t="s">
        <v>15</v>
      </c>
      <c r="G89" s="1" t="s">
        <v>105</v>
      </c>
      <c r="H89" s="1" t="s">
        <v>24</v>
      </c>
      <c r="I89" s="1" t="s">
        <v>539</v>
      </c>
      <c r="J89" s="1" t="s">
        <v>25</v>
      </c>
      <c r="K89" s="2">
        <v>1</v>
      </c>
      <c r="L89" s="1" t="s">
        <v>25</v>
      </c>
      <c r="M89" s="1" t="s">
        <v>127</v>
      </c>
    </row>
    <row r="90" spans="1:13" x14ac:dyDescent="0.3">
      <c r="A90" s="1" t="s">
        <v>170</v>
      </c>
      <c r="B90" s="2">
        <v>499</v>
      </c>
      <c r="C90" s="4">
        <v>124</v>
      </c>
      <c r="D90" s="5">
        <v>0.75</v>
      </c>
      <c r="E90" s="1" t="s">
        <v>22</v>
      </c>
      <c r="F90" s="1" t="s">
        <v>15</v>
      </c>
      <c r="G90" s="1" t="s">
        <v>28</v>
      </c>
      <c r="H90" s="1" t="s">
        <v>24</v>
      </c>
      <c r="I90" s="1" t="s">
        <v>539</v>
      </c>
      <c r="J90" s="1" t="s">
        <v>25</v>
      </c>
      <c r="K90" s="2">
        <v>0.5</v>
      </c>
      <c r="L90" s="1" t="s">
        <v>25</v>
      </c>
      <c r="M90" s="1" t="s">
        <v>171</v>
      </c>
    </row>
    <row r="91" spans="1:13" x14ac:dyDescent="0.3">
      <c r="A91" s="1" t="s">
        <v>172</v>
      </c>
      <c r="B91" s="2">
        <v>299</v>
      </c>
      <c r="C91" s="4">
        <v>161</v>
      </c>
      <c r="D91" s="5">
        <v>0.46</v>
      </c>
      <c r="E91" s="1" t="s">
        <v>14</v>
      </c>
      <c r="F91" s="1" t="s">
        <v>15</v>
      </c>
      <c r="G91" s="1" t="s">
        <v>28</v>
      </c>
      <c r="H91" s="1" t="s">
        <v>17</v>
      </c>
      <c r="I91" s="1" t="s">
        <v>539</v>
      </c>
      <c r="J91" s="1" t="s">
        <v>19</v>
      </c>
      <c r="K91" s="2">
        <v>1</v>
      </c>
      <c r="L91" s="1" t="s">
        <v>19</v>
      </c>
      <c r="M91" s="1" t="s">
        <v>173</v>
      </c>
    </row>
    <row r="92" spans="1:13" x14ac:dyDescent="0.3">
      <c r="A92" s="1" t="s">
        <v>174</v>
      </c>
      <c r="B92" s="2">
        <v>599</v>
      </c>
      <c r="C92" s="4">
        <v>125</v>
      </c>
      <c r="D92" s="5">
        <v>0.79</v>
      </c>
      <c r="E92" s="1" t="s">
        <v>22</v>
      </c>
      <c r="F92" s="1" t="s">
        <v>15</v>
      </c>
      <c r="G92" s="1" t="s">
        <v>23</v>
      </c>
      <c r="H92" s="1" t="s">
        <v>24</v>
      </c>
      <c r="I92" s="1" t="s">
        <v>539</v>
      </c>
      <c r="J92" s="1" t="s">
        <v>25</v>
      </c>
      <c r="K92" s="2">
        <v>1</v>
      </c>
      <c r="L92" s="1" t="s">
        <v>25</v>
      </c>
      <c r="M92" s="1" t="s">
        <v>26</v>
      </c>
    </row>
    <row r="93" spans="1:13" x14ac:dyDescent="0.3">
      <c r="A93" s="1" t="s">
        <v>175</v>
      </c>
      <c r="B93" s="2">
        <v>376</v>
      </c>
      <c r="C93" s="4">
        <v>121</v>
      </c>
      <c r="D93" s="5">
        <v>0.67</v>
      </c>
      <c r="E93" s="1" t="s">
        <v>22</v>
      </c>
      <c r="F93" s="1" t="s">
        <v>15</v>
      </c>
      <c r="G93" s="1" t="s">
        <v>23</v>
      </c>
      <c r="H93" s="1" t="s">
        <v>17</v>
      </c>
      <c r="I93" s="1" t="s">
        <v>18</v>
      </c>
      <c r="J93" s="1" t="s">
        <v>25</v>
      </c>
      <c r="K93" s="2">
        <v>1</v>
      </c>
      <c r="L93" s="1" t="s">
        <v>25</v>
      </c>
      <c r="M93" s="1" t="s">
        <v>26</v>
      </c>
    </row>
    <row r="94" spans="1:13" x14ac:dyDescent="0.3">
      <c r="A94" s="1" t="s">
        <v>176</v>
      </c>
      <c r="B94" s="2">
        <v>299</v>
      </c>
      <c r="C94" s="4">
        <v>189</v>
      </c>
      <c r="D94" s="5">
        <v>0.36</v>
      </c>
      <c r="E94" s="1" t="s">
        <v>14</v>
      </c>
      <c r="F94" s="1" t="s">
        <v>15</v>
      </c>
      <c r="G94" s="1" t="s">
        <v>23</v>
      </c>
      <c r="H94" s="1" t="s">
        <v>93</v>
      </c>
      <c r="I94" s="8" t="s">
        <v>539</v>
      </c>
      <c r="J94" s="1" t="s">
        <v>25</v>
      </c>
      <c r="K94" s="2">
        <v>0.5</v>
      </c>
      <c r="L94" s="1" t="s">
        <v>25</v>
      </c>
      <c r="M94" s="1" t="s">
        <v>94</v>
      </c>
    </row>
    <row r="95" spans="1:13" x14ac:dyDescent="0.3">
      <c r="A95" s="1" t="s">
        <v>177</v>
      </c>
      <c r="B95" s="2">
        <v>599</v>
      </c>
      <c r="C95" s="4">
        <v>220</v>
      </c>
      <c r="D95" s="5">
        <v>0.63</v>
      </c>
      <c r="E95" s="1" t="s">
        <v>22</v>
      </c>
      <c r="F95" s="1" t="s">
        <v>15</v>
      </c>
      <c r="G95" s="1" t="s">
        <v>36</v>
      </c>
      <c r="H95" s="1" t="s">
        <v>24</v>
      </c>
      <c r="I95" s="1" t="s">
        <v>539</v>
      </c>
      <c r="J95" s="1" t="s">
        <v>25</v>
      </c>
      <c r="K95" s="2">
        <v>1</v>
      </c>
      <c r="L95" s="1" t="s">
        <v>25</v>
      </c>
      <c r="M95" s="1" t="s">
        <v>26</v>
      </c>
    </row>
    <row r="96" spans="1:13" x14ac:dyDescent="0.3">
      <c r="A96" s="1" t="s">
        <v>178</v>
      </c>
      <c r="B96" s="2">
        <v>499</v>
      </c>
      <c r="C96" s="4">
        <v>297</v>
      </c>
      <c r="D96" s="5">
        <v>0.4</v>
      </c>
      <c r="E96" s="1" t="s">
        <v>22</v>
      </c>
      <c r="F96" s="1" t="s">
        <v>15</v>
      </c>
      <c r="G96" s="1" t="s">
        <v>49</v>
      </c>
      <c r="H96" s="1" t="s">
        <v>24</v>
      </c>
      <c r="I96" s="1" t="s">
        <v>539</v>
      </c>
      <c r="J96" s="1" t="s">
        <v>25</v>
      </c>
      <c r="K96" s="2">
        <v>2</v>
      </c>
      <c r="L96" s="1" t="s">
        <v>25</v>
      </c>
      <c r="M96" s="1" t="s">
        <v>179</v>
      </c>
    </row>
    <row r="97" spans="1:13" x14ac:dyDescent="0.3">
      <c r="A97" s="1" t="s">
        <v>180</v>
      </c>
      <c r="B97" s="2">
        <v>419</v>
      </c>
      <c r="C97" s="4">
        <v>133</v>
      </c>
      <c r="D97" s="5">
        <v>0.68</v>
      </c>
      <c r="E97" s="1" t="s">
        <v>14</v>
      </c>
      <c r="F97" s="1" t="s">
        <v>15</v>
      </c>
      <c r="G97" s="1" t="s">
        <v>36</v>
      </c>
      <c r="H97" s="1" t="s">
        <v>17</v>
      </c>
      <c r="I97" s="1" t="s">
        <v>539</v>
      </c>
      <c r="J97" s="1" t="s">
        <v>25</v>
      </c>
      <c r="K97" s="2">
        <v>1</v>
      </c>
      <c r="L97" s="1" t="s">
        <v>25</v>
      </c>
      <c r="M97" s="1" t="s">
        <v>41</v>
      </c>
    </row>
    <row r="98" spans="1:13" x14ac:dyDescent="0.3">
      <c r="A98" s="1" t="s">
        <v>181</v>
      </c>
      <c r="B98" s="2">
        <v>399</v>
      </c>
      <c r="C98" s="4">
        <v>174</v>
      </c>
      <c r="D98" s="5">
        <v>0.56000000000000005</v>
      </c>
      <c r="E98" s="1" t="s">
        <v>22</v>
      </c>
      <c r="F98" s="1" t="s">
        <v>15</v>
      </c>
      <c r="G98" s="1" t="s">
        <v>52</v>
      </c>
      <c r="H98" s="1" t="s">
        <v>17</v>
      </c>
      <c r="I98" s="1" t="s">
        <v>18</v>
      </c>
      <c r="J98" s="1" t="s">
        <v>25</v>
      </c>
      <c r="K98" s="2">
        <v>4</v>
      </c>
      <c r="L98" s="1" t="s">
        <v>25</v>
      </c>
      <c r="M98" s="1" t="s">
        <v>112</v>
      </c>
    </row>
    <row r="99" spans="1:13" x14ac:dyDescent="0.3">
      <c r="A99" s="1" t="s">
        <v>182</v>
      </c>
      <c r="B99" s="2">
        <v>598</v>
      </c>
      <c r="C99" s="4">
        <v>139</v>
      </c>
      <c r="D99" s="5">
        <v>0.76</v>
      </c>
      <c r="E99" s="1" t="s">
        <v>22</v>
      </c>
      <c r="F99" s="1" t="s">
        <v>15</v>
      </c>
      <c r="G99" s="1" t="s">
        <v>23</v>
      </c>
      <c r="H99" s="1" t="s">
        <v>24</v>
      </c>
      <c r="I99" s="1" t="s">
        <v>539</v>
      </c>
      <c r="J99" s="1" t="s">
        <v>25</v>
      </c>
      <c r="K99" s="2">
        <v>1</v>
      </c>
      <c r="L99" s="1" t="s">
        <v>25</v>
      </c>
      <c r="M99" s="1" t="s">
        <v>26</v>
      </c>
    </row>
    <row r="100" spans="1:13" x14ac:dyDescent="0.3">
      <c r="A100" s="1" t="s">
        <v>183</v>
      </c>
      <c r="B100" s="2">
        <v>299</v>
      </c>
      <c r="C100" s="4">
        <v>175</v>
      </c>
      <c r="D100" s="5">
        <v>0.41</v>
      </c>
      <c r="E100" s="1" t="s">
        <v>14</v>
      </c>
      <c r="F100" s="1" t="s">
        <v>15</v>
      </c>
      <c r="G100" s="1" t="s">
        <v>23</v>
      </c>
      <c r="H100" s="1" t="s">
        <v>24</v>
      </c>
      <c r="I100" s="1" t="s">
        <v>539</v>
      </c>
      <c r="J100" s="1" t="s">
        <v>25</v>
      </c>
      <c r="K100" s="2">
        <v>1</v>
      </c>
      <c r="L100" s="1" t="s">
        <v>25</v>
      </c>
      <c r="M100" s="1" t="s">
        <v>184</v>
      </c>
    </row>
    <row r="101" spans="1:13" x14ac:dyDescent="0.3">
      <c r="A101" s="1" t="s">
        <v>185</v>
      </c>
      <c r="B101" s="2">
        <v>499</v>
      </c>
      <c r="C101" s="4">
        <v>125</v>
      </c>
      <c r="D101" s="5">
        <v>0.74</v>
      </c>
      <c r="E101" s="1" t="s">
        <v>22</v>
      </c>
      <c r="F101" s="1" t="s">
        <v>15</v>
      </c>
      <c r="G101" s="1" t="s">
        <v>46</v>
      </c>
      <c r="H101" s="1" t="s">
        <v>17</v>
      </c>
      <c r="I101" s="1" t="s">
        <v>539</v>
      </c>
      <c r="J101" s="1" t="s">
        <v>25</v>
      </c>
      <c r="K101" s="2">
        <v>1</v>
      </c>
      <c r="L101" s="1" t="s">
        <v>25</v>
      </c>
      <c r="M101" s="1" t="s">
        <v>186</v>
      </c>
    </row>
    <row r="102" spans="1:13" x14ac:dyDescent="0.3">
      <c r="A102" s="1" t="s">
        <v>187</v>
      </c>
      <c r="B102" s="2">
        <v>398</v>
      </c>
      <c r="C102" s="4">
        <v>124</v>
      </c>
      <c r="D102" s="5">
        <v>0.68</v>
      </c>
      <c r="E102" s="1" t="s">
        <v>14</v>
      </c>
      <c r="F102" s="1" t="s">
        <v>15</v>
      </c>
      <c r="G102" s="1" t="s">
        <v>23</v>
      </c>
      <c r="H102" s="1" t="s">
        <v>93</v>
      </c>
      <c r="I102" s="1" t="s">
        <v>539</v>
      </c>
      <c r="J102" s="1" t="s">
        <v>25</v>
      </c>
      <c r="K102" s="2">
        <v>1</v>
      </c>
      <c r="L102" s="1" t="s">
        <v>25</v>
      </c>
      <c r="M102" s="1" t="s">
        <v>130</v>
      </c>
    </row>
    <row r="103" spans="1:13" x14ac:dyDescent="0.3">
      <c r="A103" s="1" t="s">
        <v>188</v>
      </c>
      <c r="B103" s="2">
        <v>313</v>
      </c>
      <c r="C103" s="4">
        <v>120</v>
      </c>
      <c r="D103" s="5">
        <v>0.61</v>
      </c>
      <c r="E103" s="1" t="s">
        <v>14</v>
      </c>
      <c r="F103" s="1" t="s">
        <v>15</v>
      </c>
      <c r="G103" s="1" t="s">
        <v>28</v>
      </c>
      <c r="H103" s="1" t="s">
        <v>17</v>
      </c>
      <c r="I103" s="1" t="s">
        <v>539</v>
      </c>
      <c r="J103" s="1" t="s">
        <v>25</v>
      </c>
      <c r="K103" s="2">
        <v>1</v>
      </c>
      <c r="L103" s="1" t="s">
        <v>25</v>
      </c>
      <c r="M103" s="1" t="s">
        <v>26</v>
      </c>
    </row>
    <row r="104" spans="1:13" x14ac:dyDescent="0.3">
      <c r="A104" s="1" t="s">
        <v>189</v>
      </c>
      <c r="B104" s="2">
        <v>399</v>
      </c>
      <c r="C104" s="4">
        <v>185</v>
      </c>
      <c r="D104" s="5">
        <v>0.53</v>
      </c>
      <c r="E104" s="1" t="s">
        <v>22</v>
      </c>
      <c r="F104" s="1" t="s">
        <v>15</v>
      </c>
      <c r="G104" s="1" t="s">
        <v>36</v>
      </c>
      <c r="H104" s="1" t="s">
        <v>93</v>
      </c>
      <c r="I104" s="1" t="s">
        <v>539</v>
      </c>
      <c r="J104" s="1" t="s">
        <v>19</v>
      </c>
      <c r="K104" s="2">
        <v>1</v>
      </c>
      <c r="L104" s="1" t="s">
        <v>25</v>
      </c>
      <c r="M104" s="1" t="s">
        <v>44</v>
      </c>
    </row>
    <row r="105" spans="1:13" x14ac:dyDescent="0.3">
      <c r="A105" s="1" t="s">
        <v>190</v>
      </c>
      <c r="B105" s="2">
        <v>599</v>
      </c>
      <c r="C105" s="4">
        <v>126</v>
      </c>
      <c r="D105" s="5">
        <v>0.78</v>
      </c>
      <c r="E105" s="1" t="s">
        <v>22</v>
      </c>
      <c r="F105" s="1" t="s">
        <v>15</v>
      </c>
      <c r="G105" s="1" t="s">
        <v>23</v>
      </c>
      <c r="H105" s="1" t="s">
        <v>24</v>
      </c>
      <c r="I105" s="1" t="s">
        <v>18</v>
      </c>
      <c r="J105" s="1" t="s">
        <v>25</v>
      </c>
      <c r="K105" s="2">
        <v>1</v>
      </c>
      <c r="L105" s="1" t="s">
        <v>25</v>
      </c>
      <c r="M105" s="1" t="s">
        <v>191</v>
      </c>
    </row>
    <row r="106" spans="1:13" x14ac:dyDescent="0.3">
      <c r="A106" s="1" t="s">
        <v>192</v>
      </c>
      <c r="B106" s="2">
        <v>1000</v>
      </c>
      <c r="C106" s="4">
        <v>167</v>
      </c>
      <c r="D106" s="5">
        <v>0.83</v>
      </c>
      <c r="E106" s="1" t="s">
        <v>22</v>
      </c>
      <c r="F106" s="1" t="s">
        <v>15</v>
      </c>
      <c r="G106" s="1" t="s">
        <v>16</v>
      </c>
      <c r="H106" s="1" t="s">
        <v>17</v>
      </c>
      <c r="I106" s="1" t="s">
        <v>18</v>
      </c>
      <c r="J106" s="1" t="s">
        <v>19</v>
      </c>
      <c r="K106" s="2">
        <v>1</v>
      </c>
      <c r="L106" s="1" t="s">
        <v>25</v>
      </c>
      <c r="M106" s="1" t="s">
        <v>193</v>
      </c>
    </row>
    <row r="107" spans="1:13" x14ac:dyDescent="0.3">
      <c r="A107" s="1" t="s">
        <v>194</v>
      </c>
      <c r="B107" s="2">
        <v>499</v>
      </c>
      <c r="C107" s="4">
        <v>135</v>
      </c>
      <c r="D107" s="5">
        <v>0.68</v>
      </c>
      <c r="E107" s="1" t="s">
        <v>22</v>
      </c>
      <c r="F107" s="1" t="s">
        <v>15</v>
      </c>
      <c r="G107" s="1" t="s">
        <v>36</v>
      </c>
      <c r="H107" s="1" t="s">
        <v>24</v>
      </c>
      <c r="I107" s="1" t="s">
        <v>539</v>
      </c>
      <c r="J107" s="1" t="s">
        <v>25</v>
      </c>
      <c r="K107" s="2">
        <v>0.6</v>
      </c>
      <c r="L107" s="8" t="s">
        <v>25</v>
      </c>
      <c r="M107" s="1" t="s">
        <v>75</v>
      </c>
    </row>
    <row r="108" spans="1:13" x14ac:dyDescent="0.3">
      <c r="A108" s="1" t="s">
        <v>195</v>
      </c>
      <c r="B108" s="2">
        <v>999</v>
      </c>
      <c r="C108" s="4">
        <v>299</v>
      </c>
      <c r="D108" s="5">
        <v>0.7</v>
      </c>
      <c r="E108" s="1" t="s">
        <v>22</v>
      </c>
      <c r="F108" s="1" t="s">
        <v>15</v>
      </c>
      <c r="G108" s="1" t="s">
        <v>28</v>
      </c>
      <c r="H108" s="1" t="s">
        <v>17</v>
      </c>
      <c r="I108" s="1" t="s">
        <v>539</v>
      </c>
      <c r="J108" s="1" t="s">
        <v>25</v>
      </c>
      <c r="K108" s="2">
        <v>1</v>
      </c>
      <c r="L108" s="1" t="s">
        <v>25</v>
      </c>
      <c r="M108" s="1" t="s">
        <v>39</v>
      </c>
    </row>
    <row r="109" spans="1:13" x14ac:dyDescent="0.3">
      <c r="A109" s="1" t="s">
        <v>196</v>
      </c>
      <c r="B109" s="2">
        <v>299</v>
      </c>
      <c r="C109" s="4">
        <v>125</v>
      </c>
      <c r="D109" s="5">
        <v>0.57999999999999996</v>
      </c>
      <c r="E109" s="1" t="s">
        <v>14</v>
      </c>
      <c r="F109" s="1" t="s">
        <v>15</v>
      </c>
      <c r="G109" s="1" t="s">
        <v>16</v>
      </c>
      <c r="H109" s="1" t="s">
        <v>17</v>
      </c>
      <c r="I109" s="1" t="s">
        <v>539</v>
      </c>
      <c r="J109" s="1" t="s">
        <v>19</v>
      </c>
      <c r="K109" s="2">
        <v>1</v>
      </c>
      <c r="L109" s="1" t="s">
        <v>25</v>
      </c>
      <c r="M109" s="1" t="s">
        <v>106</v>
      </c>
    </row>
    <row r="110" spans="1:13" x14ac:dyDescent="0.3">
      <c r="A110" s="1" t="s">
        <v>197</v>
      </c>
      <c r="B110" s="2">
        <v>499</v>
      </c>
      <c r="C110" s="4">
        <v>145</v>
      </c>
      <c r="D110" s="5">
        <v>0.7</v>
      </c>
      <c r="E110" s="1" t="s">
        <v>22</v>
      </c>
      <c r="F110" s="1" t="s">
        <v>15</v>
      </c>
      <c r="G110" s="1" t="s">
        <v>28</v>
      </c>
      <c r="H110" s="1" t="s">
        <v>17</v>
      </c>
      <c r="I110" s="1" t="s">
        <v>18</v>
      </c>
      <c r="J110" s="1" t="s">
        <v>19</v>
      </c>
      <c r="K110" s="2">
        <v>1</v>
      </c>
      <c r="L110" s="1" t="s">
        <v>19</v>
      </c>
      <c r="M110" s="1" t="s">
        <v>198</v>
      </c>
    </row>
    <row r="111" spans="1:13" x14ac:dyDescent="0.3">
      <c r="A111" s="1" t="s">
        <v>123</v>
      </c>
      <c r="B111" s="2">
        <v>492</v>
      </c>
      <c r="C111" s="4">
        <v>152</v>
      </c>
      <c r="D111" s="5">
        <v>0.69</v>
      </c>
      <c r="E111" s="1" t="s">
        <v>14</v>
      </c>
      <c r="F111" s="1" t="s">
        <v>15</v>
      </c>
      <c r="G111" s="1" t="s">
        <v>36</v>
      </c>
      <c r="H111" s="1" t="s">
        <v>24</v>
      </c>
      <c r="I111" s="1" t="s">
        <v>539</v>
      </c>
      <c r="J111" s="1" t="s">
        <v>25</v>
      </c>
      <c r="K111" s="2">
        <v>1</v>
      </c>
      <c r="L111" s="1" t="s">
        <v>25</v>
      </c>
      <c r="M111" s="1" t="s">
        <v>103</v>
      </c>
    </row>
    <row r="112" spans="1:13" x14ac:dyDescent="0.3">
      <c r="A112" s="1" t="s">
        <v>199</v>
      </c>
      <c r="B112" s="2">
        <v>399</v>
      </c>
      <c r="C112" s="4">
        <v>130</v>
      </c>
      <c r="D112" s="5">
        <v>0.67</v>
      </c>
      <c r="E112" s="1" t="s">
        <v>22</v>
      </c>
      <c r="F112" s="1" t="s">
        <v>15</v>
      </c>
      <c r="G112" s="1" t="s">
        <v>23</v>
      </c>
      <c r="H112" s="1" t="s">
        <v>17</v>
      </c>
      <c r="I112" s="1" t="s">
        <v>539</v>
      </c>
      <c r="J112" s="1" t="s">
        <v>19</v>
      </c>
      <c r="K112" s="2">
        <v>1</v>
      </c>
      <c r="L112" s="1" t="s">
        <v>25</v>
      </c>
      <c r="M112" s="1" t="s">
        <v>200</v>
      </c>
    </row>
    <row r="113" spans="1:13" x14ac:dyDescent="0.3">
      <c r="A113" s="1" t="s">
        <v>201</v>
      </c>
      <c r="B113" s="2">
        <v>599</v>
      </c>
      <c r="C113" s="4">
        <v>130</v>
      </c>
      <c r="D113" s="5">
        <v>0.78</v>
      </c>
      <c r="E113" s="1" t="s">
        <v>22</v>
      </c>
      <c r="F113" s="1" t="s">
        <v>15</v>
      </c>
      <c r="G113" s="1" t="s">
        <v>28</v>
      </c>
      <c r="H113" s="1" t="s">
        <v>17</v>
      </c>
      <c r="I113" s="1" t="s">
        <v>539</v>
      </c>
      <c r="J113" s="1" t="s">
        <v>25</v>
      </c>
      <c r="K113" s="2">
        <v>2</v>
      </c>
      <c r="L113" s="8" t="s">
        <v>25</v>
      </c>
      <c r="M113" s="1" t="s">
        <v>149</v>
      </c>
    </row>
    <row r="114" spans="1:13" x14ac:dyDescent="0.3">
      <c r="A114" s="1" t="s">
        <v>202</v>
      </c>
      <c r="B114" s="2">
        <v>499</v>
      </c>
      <c r="C114" s="4">
        <v>135</v>
      </c>
      <c r="D114" s="5">
        <v>0.68</v>
      </c>
      <c r="E114" s="1" t="s">
        <v>22</v>
      </c>
      <c r="F114" s="1" t="s">
        <v>15</v>
      </c>
      <c r="G114" s="1" t="s">
        <v>23</v>
      </c>
      <c r="H114" s="1" t="s">
        <v>17</v>
      </c>
      <c r="I114" s="1" t="s">
        <v>539</v>
      </c>
      <c r="J114" s="1" t="s">
        <v>25</v>
      </c>
      <c r="K114" s="2">
        <v>0.6</v>
      </c>
      <c r="L114" s="1" t="s">
        <v>25</v>
      </c>
      <c r="M114" s="1" t="s">
        <v>26</v>
      </c>
    </row>
    <row r="115" spans="1:13" x14ac:dyDescent="0.3">
      <c r="A115" s="1" t="s">
        <v>203</v>
      </c>
      <c r="B115" s="2">
        <v>899</v>
      </c>
      <c r="C115" s="4">
        <v>146</v>
      </c>
      <c r="D115" s="5">
        <v>0.83</v>
      </c>
      <c r="E115" s="1" t="s">
        <v>22</v>
      </c>
      <c r="F115" s="1" t="s">
        <v>15</v>
      </c>
      <c r="G115" s="1" t="s">
        <v>28</v>
      </c>
      <c r="H115" s="1" t="s">
        <v>93</v>
      </c>
      <c r="I115" s="1" t="s">
        <v>18</v>
      </c>
      <c r="J115" s="1" t="s">
        <v>25</v>
      </c>
      <c r="K115" s="2">
        <v>1</v>
      </c>
      <c r="L115" s="1" t="s">
        <v>25</v>
      </c>
      <c r="M115" s="1" t="s">
        <v>204</v>
      </c>
    </row>
    <row r="116" spans="1:13" x14ac:dyDescent="0.3">
      <c r="A116" s="1" t="s">
        <v>205</v>
      </c>
      <c r="B116" s="2">
        <v>499</v>
      </c>
      <c r="C116" s="4">
        <v>199</v>
      </c>
      <c r="D116" s="5">
        <v>0.6</v>
      </c>
      <c r="E116" s="1" t="s">
        <v>14</v>
      </c>
      <c r="F116" s="1" t="s">
        <v>15</v>
      </c>
      <c r="G116" s="1" t="s">
        <v>49</v>
      </c>
      <c r="H116" s="1" t="s">
        <v>17</v>
      </c>
      <c r="I116" s="1" t="s">
        <v>539</v>
      </c>
      <c r="J116" s="1" t="s">
        <v>25</v>
      </c>
      <c r="K116" s="2">
        <v>10</v>
      </c>
      <c r="L116" s="1" t="s">
        <v>25</v>
      </c>
      <c r="M116" s="1" t="s">
        <v>80</v>
      </c>
    </row>
    <row r="117" spans="1:13" x14ac:dyDescent="0.3">
      <c r="A117" s="1" t="s">
        <v>206</v>
      </c>
      <c r="B117" s="2">
        <v>499</v>
      </c>
      <c r="C117" s="4">
        <v>169</v>
      </c>
      <c r="D117" s="5">
        <v>0.66</v>
      </c>
      <c r="E117" s="1" t="s">
        <v>22</v>
      </c>
      <c r="F117" s="1" t="s">
        <v>15</v>
      </c>
      <c r="G117" s="1" t="s">
        <v>64</v>
      </c>
      <c r="H117" s="1" t="s">
        <v>24</v>
      </c>
      <c r="I117" s="1" t="s">
        <v>18</v>
      </c>
      <c r="J117" s="1" t="s">
        <v>19</v>
      </c>
      <c r="K117" s="2">
        <v>1</v>
      </c>
      <c r="L117" s="1" t="s">
        <v>25</v>
      </c>
      <c r="M117" s="1" t="s">
        <v>207</v>
      </c>
    </row>
    <row r="118" spans="1:13" x14ac:dyDescent="0.3">
      <c r="A118" s="1" t="s">
        <v>208</v>
      </c>
      <c r="B118" s="2">
        <v>498</v>
      </c>
      <c r="C118" s="4">
        <v>128</v>
      </c>
      <c r="D118" s="5">
        <v>0.74</v>
      </c>
      <c r="E118" s="1" t="s">
        <v>22</v>
      </c>
      <c r="F118" s="1" t="s">
        <v>15</v>
      </c>
      <c r="G118" s="1" t="s">
        <v>16</v>
      </c>
      <c r="H118" s="1" t="s">
        <v>24</v>
      </c>
      <c r="I118" s="1" t="s">
        <v>18</v>
      </c>
      <c r="J118" s="1" t="s">
        <v>19</v>
      </c>
      <c r="K118" s="2">
        <v>1</v>
      </c>
      <c r="L118" s="1" t="s">
        <v>25</v>
      </c>
      <c r="M118" s="1" t="s">
        <v>209</v>
      </c>
    </row>
    <row r="119" spans="1:13" x14ac:dyDescent="0.3">
      <c r="A119" s="1" t="s">
        <v>210</v>
      </c>
      <c r="B119" s="2">
        <v>599</v>
      </c>
      <c r="C119" s="4">
        <v>169</v>
      </c>
      <c r="D119" s="5">
        <v>0.71</v>
      </c>
      <c r="E119" s="1" t="s">
        <v>22</v>
      </c>
      <c r="F119" s="1" t="s">
        <v>15</v>
      </c>
      <c r="G119" s="1" t="s">
        <v>23</v>
      </c>
      <c r="H119" s="1" t="s">
        <v>24</v>
      </c>
      <c r="I119" s="1" t="s">
        <v>539</v>
      </c>
      <c r="J119" s="1" t="s">
        <v>25</v>
      </c>
      <c r="K119" s="2">
        <v>1</v>
      </c>
      <c r="L119" s="1" t="s">
        <v>25</v>
      </c>
      <c r="M119" s="1" t="s">
        <v>26</v>
      </c>
    </row>
    <row r="120" spans="1:13" x14ac:dyDescent="0.3">
      <c r="A120" s="1" t="s">
        <v>211</v>
      </c>
      <c r="B120" s="2">
        <v>499</v>
      </c>
      <c r="C120" s="4">
        <v>120</v>
      </c>
      <c r="D120" s="5">
        <v>0.75</v>
      </c>
      <c r="E120" s="1" t="s">
        <v>22</v>
      </c>
      <c r="F120" s="1" t="s">
        <v>15</v>
      </c>
      <c r="G120" s="1" t="s">
        <v>28</v>
      </c>
      <c r="H120" s="1" t="s">
        <v>24</v>
      </c>
      <c r="I120" s="1" t="s">
        <v>539</v>
      </c>
      <c r="J120" s="1" t="s">
        <v>25</v>
      </c>
      <c r="K120" s="2">
        <v>1</v>
      </c>
      <c r="L120" s="1" t="s">
        <v>25</v>
      </c>
      <c r="M120" s="1" t="s">
        <v>26</v>
      </c>
    </row>
    <row r="121" spans="1:13" x14ac:dyDescent="0.3">
      <c r="A121" s="1" t="s">
        <v>212</v>
      </c>
      <c r="B121" s="2">
        <v>500</v>
      </c>
      <c r="C121" s="4">
        <v>199</v>
      </c>
      <c r="D121" s="5">
        <v>0.6</v>
      </c>
      <c r="E121" s="1" t="s">
        <v>22</v>
      </c>
      <c r="F121" s="1" t="s">
        <v>15</v>
      </c>
      <c r="G121" s="1" t="s">
        <v>49</v>
      </c>
      <c r="H121" s="1" t="s">
        <v>24</v>
      </c>
      <c r="I121" s="1" t="s">
        <v>539</v>
      </c>
      <c r="J121" s="1" t="s">
        <v>25</v>
      </c>
      <c r="K121" s="2">
        <v>1</v>
      </c>
      <c r="L121" s="1" t="s">
        <v>25</v>
      </c>
      <c r="M121" s="1" t="s">
        <v>213</v>
      </c>
    </row>
    <row r="122" spans="1:13" x14ac:dyDescent="0.3">
      <c r="A122" s="1" t="s">
        <v>214</v>
      </c>
      <c r="B122" s="2">
        <v>489</v>
      </c>
      <c r="C122" s="4">
        <v>123</v>
      </c>
      <c r="D122" s="5">
        <v>0.74</v>
      </c>
      <c r="E122" s="1" t="s">
        <v>14</v>
      </c>
      <c r="F122" s="1" t="s">
        <v>15</v>
      </c>
      <c r="G122" s="1" t="s">
        <v>36</v>
      </c>
      <c r="H122" s="1" t="s">
        <v>24</v>
      </c>
      <c r="I122" s="1" t="s">
        <v>539</v>
      </c>
      <c r="J122" s="1" t="s">
        <v>25</v>
      </c>
      <c r="K122" s="2">
        <v>1</v>
      </c>
      <c r="L122" s="1" t="s">
        <v>25</v>
      </c>
      <c r="M122" s="1" t="s">
        <v>103</v>
      </c>
    </row>
    <row r="123" spans="1:13" x14ac:dyDescent="0.3">
      <c r="A123" s="1" t="s">
        <v>215</v>
      </c>
      <c r="B123" s="2">
        <v>399</v>
      </c>
      <c r="C123" s="4">
        <v>127</v>
      </c>
      <c r="D123" s="5">
        <v>0.68</v>
      </c>
      <c r="E123" s="1" t="s">
        <v>22</v>
      </c>
      <c r="F123" s="1" t="s">
        <v>15</v>
      </c>
      <c r="G123" s="1" t="s">
        <v>28</v>
      </c>
      <c r="H123" s="1" t="s">
        <v>24</v>
      </c>
      <c r="I123" s="1" t="s">
        <v>539</v>
      </c>
      <c r="J123" s="1" t="s">
        <v>19</v>
      </c>
      <c r="K123" s="2">
        <v>1</v>
      </c>
      <c r="L123" s="1" t="s">
        <v>25</v>
      </c>
      <c r="M123" s="1" t="s">
        <v>216</v>
      </c>
    </row>
    <row r="124" spans="1:13" x14ac:dyDescent="0.3">
      <c r="A124" s="1" t="s">
        <v>217</v>
      </c>
      <c r="B124" s="2">
        <v>1200</v>
      </c>
      <c r="C124" s="4">
        <v>140</v>
      </c>
      <c r="D124" s="5">
        <v>0.88</v>
      </c>
      <c r="E124" s="1" t="s">
        <v>22</v>
      </c>
      <c r="F124" s="1" t="s">
        <v>15</v>
      </c>
      <c r="G124" s="1" t="s">
        <v>28</v>
      </c>
      <c r="H124" s="1" t="s">
        <v>17</v>
      </c>
      <c r="I124" s="1" t="s">
        <v>539</v>
      </c>
      <c r="J124" s="1" t="s">
        <v>25</v>
      </c>
      <c r="K124" s="2">
        <v>1</v>
      </c>
      <c r="L124" s="1" t="s">
        <v>25</v>
      </c>
      <c r="M124" s="1" t="s">
        <v>218</v>
      </c>
    </row>
    <row r="125" spans="1:13" x14ac:dyDescent="0.3">
      <c r="A125" s="1" t="s">
        <v>219</v>
      </c>
      <c r="B125" s="2">
        <v>499</v>
      </c>
      <c r="C125" s="4">
        <v>130</v>
      </c>
      <c r="D125" s="5">
        <v>0.73</v>
      </c>
      <c r="E125" s="1" t="s">
        <v>22</v>
      </c>
      <c r="F125" s="1" t="s">
        <v>15</v>
      </c>
      <c r="G125" s="1" t="s">
        <v>49</v>
      </c>
      <c r="H125" s="1" t="s">
        <v>24</v>
      </c>
      <c r="I125" s="1" t="s">
        <v>539</v>
      </c>
      <c r="J125" s="1" t="s">
        <v>19</v>
      </c>
      <c r="K125" s="2">
        <v>1</v>
      </c>
      <c r="L125" s="1" t="s">
        <v>25</v>
      </c>
      <c r="M125" s="1" t="s">
        <v>31</v>
      </c>
    </row>
    <row r="126" spans="1:13" x14ac:dyDescent="0.3">
      <c r="A126" s="1" t="s">
        <v>220</v>
      </c>
      <c r="B126" s="2">
        <v>1099</v>
      </c>
      <c r="C126" s="4">
        <v>483</v>
      </c>
      <c r="D126" s="5">
        <v>0.56000000000000005</v>
      </c>
      <c r="E126" s="1" t="s">
        <v>22</v>
      </c>
      <c r="F126" s="1" t="s">
        <v>15</v>
      </c>
      <c r="G126" s="1" t="s">
        <v>28</v>
      </c>
      <c r="H126" s="1" t="s">
        <v>17</v>
      </c>
      <c r="I126" s="1" t="s">
        <v>539</v>
      </c>
      <c r="J126" s="1" t="s">
        <v>19</v>
      </c>
      <c r="K126" s="2">
        <v>1</v>
      </c>
      <c r="L126" s="1" t="s">
        <v>25</v>
      </c>
      <c r="M126" s="1" t="s">
        <v>44</v>
      </c>
    </row>
    <row r="127" spans="1:13" x14ac:dyDescent="0.3">
      <c r="A127" s="1" t="s">
        <v>221</v>
      </c>
      <c r="B127" s="2">
        <v>299</v>
      </c>
      <c r="C127" s="4">
        <v>180</v>
      </c>
      <c r="D127" s="5">
        <v>0.39</v>
      </c>
      <c r="E127" s="1" t="s">
        <v>14</v>
      </c>
      <c r="F127" s="1" t="s">
        <v>15</v>
      </c>
      <c r="G127" s="1" t="s">
        <v>36</v>
      </c>
      <c r="H127" s="1" t="s">
        <v>17</v>
      </c>
      <c r="I127" s="1" t="s">
        <v>539</v>
      </c>
      <c r="J127" s="1" t="s">
        <v>19</v>
      </c>
      <c r="K127" s="2">
        <v>1</v>
      </c>
      <c r="L127" s="1" t="s">
        <v>25</v>
      </c>
      <c r="M127" s="1" t="s">
        <v>106</v>
      </c>
    </row>
    <row r="128" spans="1:13" x14ac:dyDescent="0.3">
      <c r="A128" s="1" t="s">
        <v>222</v>
      </c>
      <c r="B128" s="2">
        <v>299</v>
      </c>
      <c r="C128" s="4">
        <v>250</v>
      </c>
      <c r="D128" s="5">
        <v>0.16</v>
      </c>
      <c r="E128" s="1" t="s">
        <v>22</v>
      </c>
      <c r="F128" s="1" t="s">
        <v>15</v>
      </c>
      <c r="G128" s="1" t="s">
        <v>28</v>
      </c>
      <c r="H128" s="1" t="s">
        <v>17</v>
      </c>
      <c r="I128" s="1" t="s">
        <v>539</v>
      </c>
      <c r="J128" s="1" t="s">
        <v>25</v>
      </c>
      <c r="K128" s="2">
        <v>1</v>
      </c>
      <c r="L128" s="1" t="s">
        <v>25</v>
      </c>
      <c r="M128" s="1" t="s">
        <v>173</v>
      </c>
    </row>
    <row r="129" spans="1:13" x14ac:dyDescent="0.3">
      <c r="A129" s="1" t="s">
        <v>223</v>
      </c>
      <c r="B129" s="2">
        <v>499</v>
      </c>
      <c r="C129" s="4">
        <v>136</v>
      </c>
      <c r="D129" s="5">
        <v>0.72</v>
      </c>
      <c r="E129" s="1" t="s">
        <v>14</v>
      </c>
      <c r="F129" s="1" t="s">
        <v>15</v>
      </c>
      <c r="G129" s="1" t="s">
        <v>23</v>
      </c>
      <c r="H129" s="1" t="s">
        <v>17</v>
      </c>
      <c r="I129" s="1" t="s">
        <v>539</v>
      </c>
      <c r="J129" s="1" t="s">
        <v>19</v>
      </c>
      <c r="K129" s="2">
        <v>1</v>
      </c>
      <c r="L129" s="1" t="s">
        <v>25</v>
      </c>
      <c r="M129" s="1" t="s">
        <v>39</v>
      </c>
    </row>
    <row r="130" spans="1:13" x14ac:dyDescent="0.3">
      <c r="A130" s="1" t="s">
        <v>224</v>
      </c>
      <c r="B130" s="2">
        <v>399</v>
      </c>
      <c r="C130" s="4">
        <v>170</v>
      </c>
      <c r="D130" s="5">
        <v>0.56999999999999995</v>
      </c>
      <c r="E130" s="1" t="s">
        <v>22</v>
      </c>
      <c r="F130" s="1" t="s">
        <v>15</v>
      </c>
      <c r="G130" s="1" t="s">
        <v>49</v>
      </c>
      <c r="H130" s="1" t="s">
        <v>17</v>
      </c>
      <c r="I130" s="1" t="s">
        <v>539</v>
      </c>
      <c r="J130" s="1" t="s">
        <v>19</v>
      </c>
      <c r="K130" s="2">
        <v>1</v>
      </c>
      <c r="L130" s="1" t="s">
        <v>19</v>
      </c>
      <c r="M130" s="1" t="s">
        <v>55</v>
      </c>
    </row>
    <row r="131" spans="1:13" x14ac:dyDescent="0.3">
      <c r="A131" s="1" t="s">
        <v>225</v>
      </c>
      <c r="B131" s="2">
        <v>249</v>
      </c>
      <c r="C131" s="4">
        <v>125</v>
      </c>
      <c r="D131" s="5">
        <v>0.49</v>
      </c>
      <c r="E131" s="1" t="s">
        <v>22</v>
      </c>
      <c r="F131" s="1" t="s">
        <v>15</v>
      </c>
      <c r="G131" s="1" t="s">
        <v>28</v>
      </c>
      <c r="H131" s="1" t="s">
        <v>17</v>
      </c>
      <c r="I131" s="1" t="s">
        <v>539</v>
      </c>
      <c r="J131" s="1" t="s">
        <v>25</v>
      </c>
      <c r="K131" s="2">
        <v>0.6</v>
      </c>
      <c r="L131" s="1" t="s">
        <v>25</v>
      </c>
      <c r="M131" s="1" t="s">
        <v>226</v>
      </c>
    </row>
    <row r="132" spans="1:13" x14ac:dyDescent="0.3">
      <c r="A132" s="1" t="s">
        <v>227</v>
      </c>
      <c r="B132" s="2">
        <v>499</v>
      </c>
      <c r="C132" s="4">
        <v>115</v>
      </c>
      <c r="D132" s="5">
        <v>0.76</v>
      </c>
      <c r="E132" s="1" t="s">
        <v>22</v>
      </c>
      <c r="F132" s="1" t="s">
        <v>15</v>
      </c>
      <c r="G132" s="1" t="s">
        <v>23</v>
      </c>
      <c r="H132" s="1" t="s">
        <v>17</v>
      </c>
      <c r="I132" s="1" t="s">
        <v>539</v>
      </c>
      <c r="J132" s="1" t="s">
        <v>19</v>
      </c>
      <c r="K132" s="2">
        <v>1</v>
      </c>
      <c r="L132" s="1" t="s">
        <v>25</v>
      </c>
      <c r="M132" s="1" t="s">
        <v>39</v>
      </c>
    </row>
    <row r="133" spans="1:13" x14ac:dyDescent="0.3">
      <c r="A133" s="1" t="s">
        <v>228</v>
      </c>
      <c r="B133" s="2">
        <v>399</v>
      </c>
      <c r="C133" s="4">
        <v>127</v>
      </c>
      <c r="D133" s="5">
        <v>0.68</v>
      </c>
      <c r="E133" s="1" t="s">
        <v>14</v>
      </c>
      <c r="F133" s="1" t="s">
        <v>15</v>
      </c>
      <c r="G133" s="1" t="s">
        <v>23</v>
      </c>
      <c r="H133" s="1" t="s">
        <v>24</v>
      </c>
      <c r="I133" s="1" t="s">
        <v>539</v>
      </c>
      <c r="J133" s="1" t="s">
        <v>25</v>
      </c>
      <c r="K133" s="2">
        <v>1</v>
      </c>
      <c r="L133" s="1" t="s">
        <v>25</v>
      </c>
      <c r="M133" s="1" t="s">
        <v>229</v>
      </c>
    </row>
    <row r="134" spans="1:13" x14ac:dyDescent="0.3">
      <c r="A134" s="1" t="s">
        <v>230</v>
      </c>
      <c r="B134" s="2">
        <v>299</v>
      </c>
      <c r="C134" s="4">
        <v>130</v>
      </c>
      <c r="D134" s="5">
        <v>0.56000000000000005</v>
      </c>
      <c r="E134" s="1" t="s">
        <v>14</v>
      </c>
      <c r="F134" s="1" t="s">
        <v>15</v>
      </c>
      <c r="G134" s="1" t="s">
        <v>23</v>
      </c>
      <c r="H134" s="1" t="s">
        <v>24</v>
      </c>
      <c r="I134" s="1" t="s">
        <v>539</v>
      </c>
      <c r="J134" s="1" t="s">
        <v>19</v>
      </c>
      <c r="K134" s="2">
        <v>1</v>
      </c>
      <c r="L134" s="1" t="s">
        <v>25</v>
      </c>
      <c r="M134" s="1" t="s">
        <v>39</v>
      </c>
    </row>
    <row r="135" spans="1:13" x14ac:dyDescent="0.3">
      <c r="A135" s="1" t="s">
        <v>231</v>
      </c>
      <c r="B135" s="2">
        <v>499</v>
      </c>
      <c r="C135" s="4">
        <v>129</v>
      </c>
      <c r="D135" s="5">
        <v>0.74</v>
      </c>
      <c r="E135" s="1" t="s">
        <v>14</v>
      </c>
      <c r="F135" s="1" t="s">
        <v>15</v>
      </c>
      <c r="G135" s="1" t="s">
        <v>64</v>
      </c>
      <c r="H135" s="1" t="s">
        <v>17</v>
      </c>
      <c r="I135" s="1" t="s">
        <v>539</v>
      </c>
      <c r="J135" s="1" t="s">
        <v>19</v>
      </c>
      <c r="K135" s="2">
        <v>1</v>
      </c>
      <c r="L135" s="1" t="s">
        <v>25</v>
      </c>
      <c r="M135" s="1" t="s">
        <v>232</v>
      </c>
    </row>
    <row r="136" spans="1:13" x14ac:dyDescent="0.3">
      <c r="A136" s="1" t="s">
        <v>233</v>
      </c>
      <c r="B136" s="2">
        <v>599</v>
      </c>
      <c r="C136" s="4">
        <v>140</v>
      </c>
      <c r="D136" s="5">
        <v>0.76</v>
      </c>
      <c r="E136" s="1" t="s">
        <v>14</v>
      </c>
      <c r="F136" s="1" t="s">
        <v>15</v>
      </c>
      <c r="G136" s="1" t="s">
        <v>64</v>
      </c>
      <c r="H136" s="1" t="s">
        <v>17</v>
      </c>
      <c r="I136" s="1" t="s">
        <v>539</v>
      </c>
      <c r="J136" s="1" t="s">
        <v>25</v>
      </c>
      <c r="K136" s="2">
        <v>1</v>
      </c>
      <c r="L136" s="1" t="s">
        <v>25</v>
      </c>
      <c r="M136" s="1" t="s">
        <v>191</v>
      </c>
    </row>
    <row r="137" spans="1:13" x14ac:dyDescent="0.3">
      <c r="A137" s="1" t="s">
        <v>234</v>
      </c>
      <c r="B137" s="2">
        <v>399</v>
      </c>
      <c r="C137" s="4">
        <v>165</v>
      </c>
      <c r="D137" s="5">
        <v>0.57999999999999996</v>
      </c>
      <c r="E137" s="1" t="s">
        <v>22</v>
      </c>
      <c r="F137" s="1" t="s">
        <v>15</v>
      </c>
      <c r="G137" s="1" t="s">
        <v>105</v>
      </c>
      <c r="H137" s="1" t="s">
        <v>17</v>
      </c>
      <c r="I137" s="1" t="s">
        <v>18</v>
      </c>
      <c r="J137" s="1" t="s">
        <v>25</v>
      </c>
      <c r="K137" s="2">
        <v>0.5</v>
      </c>
      <c r="L137" s="1" t="s">
        <v>25</v>
      </c>
      <c r="M137" s="1" t="s">
        <v>69</v>
      </c>
    </row>
    <row r="138" spans="1:13" x14ac:dyDescent="0.3">
      <c r="A138" s="1" t="s">
        <v>235</v>
      </c>
      <c r="B138" s="2">
        <v>499</v>
      </c>
      <c r="C138" s="4">
        <v>196</v>
      </c>
      <c r="D138" s="5">
        <v>0.6</v>
      </c>
      <c r="E138" s="1" t="s">
        <v>22</v>
      </c>
      <c r="F138" s="1" t="s">
        <v>15</v>
      </c>
      <c r="G138" s="1" t="s">
        <v>23</v>
      </c>
      <c r="H138" s="1" t="s">
        <v>17</v>
      </c>
      <c r="I138" s="1" t="s">
        <v>539</v>
      </c>
      <c r="J138" s="1" t="s">
        <v>19</v>
      </c>
      <c r="K138" s="2">
        <v>1</v>
      </c>
      <c r="L138" s="1" t="s">
        <v>25</v>
      </c>
      <c r="M138" s="1" t="s">
        <v>41</v>
      </c>
    </row>
    <row r="139" spans="1:13" x14ac:dyDescent="0.3">
      <c r="A139" s="1" t="s">
        <v>236</v>
      </c>
      <c r="B139" s="2">
        <v>599</v>
      </c>
      <c r="C139" s="4">
        <v>120</v>
      </c>
      <c r="D139" s="5">
        <v>0.79</v>
      </c>
      <c r="E139" s="1" t="s">
        <v>22</v>
      </c>
      <c r="F139" s="1" t="s">
        <v>15</v>
      </c>
      <c r="G139" s="1" t="s">
        <v>23</v>
      </c>
      <c r="H139" s="1" t="s">
        <v>24</v>
      </c>
      <c r="I139" s="1" t="s">
        <v>539</v>
      </c>
      <c r="J139" s="1" t="s">
        <v>25</v>
      </c>
      <c r="K139" s="2">
        <v>1</v>
      </c>
      <c r="L139" s="1" t="s">
        <v>25</v>
      </c>
      <c r="M139" s="1" t="s">
        <v>26</v>
      </c>
    </row>
    <row r="140" spans="1:13" x14ac:dyDescent="0.3">
      <c r="A140" s="1" t="s">
        <v>237</v>
      </c>
      <c r="B140" s="2">
        <v>499</v>
      </c>
      <c r="C140" s="4">
        <v>138</v>
      </c>
      <c r="D140" s="5">
        <v>0.72</v>
      </c>
      <c r="E140" s="1" t="s">
        <v>22</v>
      </c>
      <c r="F140" s="1" t="s">
        <v>15</v>
      </c>
      <c r="G140" s="1" t="s">
        <v>23</v>
      </c>
      <c r="H140" s="1" t="s">
        <v>24</v>
      </c>
      <c r="I140" s="1" t="s">
        <v>539</v>
      </c>
      <c r="J140" s="1" t="s">
        <v>25</v>
      </c>
      <c r="K140" s="2">
        <v>1</v>
      </c>
      <c r="L140" s="1" t="s">
        <v>25</v>
      </c>
      <c r="M140" s="1" t="s">
        <v>238</v>
      </c>
    </row>
    <row r="141" spans="1:13" x14ac:dyDescent="0.3">
      <c r="A141" s="1" t="s">
        <v>239</v>
      </c>
      <c r="B141" s="2">
        <v>599</v>
      </c>
      <c r="C141" s="4">
        <v>160</v>
      </c>
      <c r="D141" s="5">
        <v>0.73</v>
      </c>
      <c r="E141" s="1" t="s">
        <v>22</v>
      </c>
      <c r="F141" s="1" t="s">
        <v>15</v>
      </c>
      <c r="G141" s="1" t="s">
        <v>23</v>
      </c>
      <c r="H141" s="1" t="s">
        <v>24</v>
      </c>
      <c r="I141" s="1" t="s">
        <v>539</v>
      </c>
      <c r="J141" s="1" t="s">
        <v>25</v>
      </c>
      <c r="K141" s="2">
        <v>1</v>
      </c>
      <c r="L141" s="1" t="s">
        <v>25</v>
      </c>
      <c r="M141" s="1" t="s">
        <v>26</v>
      </c>
    </row>
    <row r="142" spans="1:13" x14ac:dyDescent="0.3">
      <c r="A142" s="1" t="s">
        <v>240</v>
      </c>
      <c r="B142" s="2">
        <v>499</v>
      </c>
      <c r="C142" s="4">
        <v>125</v>
      </c>
      <c r="D142" s="5">
        <v>0.74</v>
      </c>
      <c r="E142" s="1" t="s">
        <v>22</v>
      </c>
      <c r="F142" s="1" t="s">
        <v>15</v>
      </c>
      <c r="G142" s="1" t="s">
        <v>23</v>
      </c>
      <c r="H142" s="1" t="s">
        <v>24</v>
      </c>
      <c r="I142" s="1" t="s">
        <v>539</v>
      </c>
      <c r="J142" s="1" t="s">
        <v>19</v>
      </c>
      <c r="K142" s="2">
        <v>1</v>
      </c>
      <c r="L142" s="1" t="s">
        <v>25</v>
      </c>
      <c r="M142" s="1" t="s">
        <v>26</v>
      </c>
    </row>
    <row r="143" spans="1:13" x14ac:dyDescent="0.3">
      <c r="A143" s="1" t="s">
        <v>241</v>
      </c>
      <c r="B143" s="2">
        <v>499</v>
      </c>
      <c r="C143" s="4">
        <v>125</v>
      </c>
      <c r="D143" s="5">
        <v>0.74</v>
      </c>
      <c r="E143" s="1" t="s">
        <v>22</v>
      </c>
      <c r="F143" s="1" t="s">
        <v>15</v>
      </c>
      <c r="G143" s="1" t="s">
        <v>23</v>
      </c>
      <c r="H143" s="1" t="s">
        <v>24</v>
      </c>
      <c r="I143" s="1" t="s">
        <v>539</v>
      </c>
      <c r="J143" s="1" t="s">
        <v>25</v>
      </c>
      <c r="K143" s="2">
        <v>1</v>
      </c>
      <c r="L143" s="1" t="s">
        <v>25</v>
      </c>
      <c r="M143" s="1" t="s">
        <v>39</v>
      </c>
    </row>
    <row r="144" spans="1:13" x14ac:dyDescent="0.3">
      <c r="A144" s="1" t="s">
        <v>242</v>
      </c>
      <c r="B144" s="2">
        <v>499</v>
      </c>
      <c r="C144" s="4">
        <v>122</v>
      </c>
      <c r="D144" s="5">
        <v>0.75</v>
      </c>
      <c r="E144" s="1" t="s">
        <v>22</v>
      </c>
      <c r="F144" s="1" t="s">
        <v>15</v>
      </c>
      <c r="G144" s="1" t="s">
        <v>23</v>
      </c>
      <c r="H144" s="1" t="s">
        <v>24</v>
      </c>
      <c r="I144" s="1" t="s">
        <v>539</v>
      </c>
      <c r="J144" s="1" t="s">
        <v>25</v>
      </c>
      <c r="K144" s="2">
        <v>1</v>
      </c>
      <c r="L144" s="1" t="s">
        <v>25</v>
      </c>
      <c r="M144" s="1" t="s">
        <v>26</v>
      </c>
    </row>
    <row r="145" spans="1:13" x14ac:dyDescent="0.3">
      <c r="A145" s="1" t="s">
        <v>181</v>
      </c>
      <c r="B145" s="2">
        <v>799</v>
      </c>
      <c r="C145" s="4">
        <v>173</v>
      </c>
      <c r="D145" s="5">
        <v>0.78</v>
      </c>
      <c r="E145" s="1" t="s">
        <v>22</v>
      </c>
      <c r="F145" s="1" t="s">
        <v>15</v>
      </c>
      <c r="G145" s="1" t="s">
        <v>52</v>
      </c>
      <c r="H145" s="1" t="s">
        <v>24</v>
      </c>
      <c r="I145" s="1" t="s">
        <v>18</v>
      </c>
      <c r="J145" s="1" t="s">
        <v>25</v>
      </c>
      <c r="K145" s="2">
        <v>12</v>
      </c>
      <c r="L145" s="1" t="s">
        <v>25</v>
      </c>
      <c r="M145" s="1" t="s">
        <v>112</v>
      </c>
    </row>
    <row r="146" spans="1:13" x14ac:dyDescent="0.3">
      <c r="A146" s="1" t="s">
        <v>243</v>
      </c>
      <c r="B146" s="2">
        <v>489</v>
      </c>
      <c r="C146" s="4">
        <v>123</v>
      </c>
      <c r="D146" s="5">
        <v>0.74</v>
      </c>
      <c r="E146" s="1" t="s">
        <v>14</v>
      </c>
      <c r="F146" s="1" t="s">
        <v>15</v>
      </c>
      <c r="G146" s="1" t="s">
        <v>23</v>
      </c>
      <c r="H146" s="1" t="s">
        <v>24</v>
      </c>
      <c r="I146" s="1" t="s">
        <v>539</v>
      </c>
      <c r="J146" s="1" t="s">
        <v>25</v>
      </c>
      <c r="K146" s="2">
        <v>1</v>
      </c>
      <c r="L146" s="1" t="s">
        <v>25</v>
      </c>
      <c r="M146" s="1" t="s">
        <v>103</v>
      </c>
    </row>
    <row r="147" spans="1:13" x14ac:dyDescent="0.3">
      <c r="A147" s="1" t="s">
        <v>90</v>
      </c>
      <c r="B147" s="2">
        <v>598</v>
      </c>
      <c r="C147" s="4">
        <v>121</v>
      </c>
      <c r="D147" s="5">
        <v>0.79</v>
      </c>
      <c r="E147" s="1" t="s">
        <v>22</v>
      </c>
      <c r="F147" s="1" t="s">
        <v>15</v>
      </c>
      <c r="G147" s="1" t="s">
        <v>36</v>
      </c>
      <c r="H147" s="1" t="s">
        <v>24</v>
      </c>
      <c r="I147" s="1" t="s">
        <v>539</v>
      </c>
      <c r="J147" s="1" t="s">
        <v>25</v>
      </c>
      <c r="K147" s="2">
        <v>1</v>
      </c>
      <c r="L147" s="1" t="s">
        <v>25</v>
      </c>
      <c r="M147" s="1" t="s">
        <v>26</v>
      </c>
    </row>
    <row r="148" spans="1:13" x14ac:dyDescent="0.3">
      <c r="A148" s="1" t="s">
        <v>244</v>
      </c>
      <c r="B148" s="2">
        <v>849</v>
      </c>
      <c r="C148" s="4">
        <v>294</v>
      </c>
      <c r="D148" s="5">
        <v>0.65</v>
      </c>
      <c r="E148" s="1" t="s">
        <v>22</v>
      </c>
      <c r="F148" s="1" t="s">
        <v>15</v>
      </c>
      <c r="G148" s="1" t="s">
        <v>52</v>
      </c>
      <c r="H148" s="1" t="s">
        <v>24</v>
      </c>
      <c r="I148" s="1" t="s">
        <v>18</v>
      </c>
      <c r="J148" s="1" t="s">
        <v>25</v>
      </c>
      <c r="K148" s="2">
        <v>1</v>
      </c>
      <c r="L148" s="1" t="s">
        <v>19</v>
      </c>
      <c r="M148" s="1" t="s">
        <v>245</v>
      </c>
    </row>
    <row r="149" spans="1:13" x14ac:dyDescent="0.3">
      <c r="A149" s="1" t="s">
        <v>246</v>
      </c>
      <c r="B149" s="2">
        <v>399</v>
      </c>
      <c r="C149" s="4">
        <v>160</v>
      </c>
      <c r="D149" s="5">
        <v>0.59</v>
      </c>
      <c r="E149" s="1" t="s">
        <v>22</v>
      </c>
      <c r="F149" s="1" t="s">
        <v>15</v>
      </c>
      <c r="G149" s="1" t="s">
        <v>64</v>
      </c>
      <c r="H149" s="1" t="s">
        <v>17</v>
      </c>
      <c r="I149" s="1" t="s">
        <v>539</v>
      </c>
      <c r="J149" s="1" t="s">
        <v>25</v>
      </c>
      <c r="K149" s="2">
        <v>1</v>
      </c>
      <c r="L149" s="1" t="s">
        <v>25</v>
      </c>
      <c r="M149" s="1" t="s">
        <v>87</v>
      </c>
    </row>
    <row r="150" spans="1:13" x14ac:dyDescent="0.3">
      <c r="A150" s="1" t="s">
        <v>247</v>
      </c>
      <c r="B150" s="2">
        <v>499</v>
      </c>
      <c r="C150" s="4">
        <v>135</v>
      </c>
      <c r="D150" s="5">
        <v>0.72</v>
      </c>
      <c r="E150" s="1" t="s">
        <v>22</v>
      </c>
      <c r="F150" s="1" t="s">
        <v>15</v>
      </c>
      <c r="G150" s="1" t="s">
        <v>64</v>
      </c>
      <c r="H150" s="1" t="s">
        <v>17</v>
      </c>
      <c r="I150" s="1" t="s">
        <v>18</v>
      </c>
      <c r="J150" s="1" t="s">
        <v>25</v>
      </c>
      <c r="K150" s="2">
        <v>1</v>
      </c>
      <c r="L150" s="1" t="s">
        <v>25</v>
      </c>
      <c r="M150" s="1" t="s">
        <v>39</v>
      </c>
    </row>
    <row r="151" spans="1:13" x14ac:dyDescent="0.3">
      <c r="A151" s="1" t="s">
        <v>248</v>
      </c>
      <c r="B151" s="2">
        <v>299</v>
      </c>
      <c r="C151" s="4">
        <v>183</v>
      </c>
      <c r="D151" s="5">
        <v>0.38</v>
      </c>
      <c r="E151" s="1" t="s">
        <v>14</v>
      </c>
      <c r="F151" s="1" t="s">
        <v>15</v>
      </c>
      <c r="G151" s="1" t="s">
        <v>23</v>
      </c>
      <c r="H151" s="1" t="s">
        <v>17</v>
      </c>
      <c r="I151" s="1" t="s">
        <v>539</v>
      </c>
      <c r="J151" s="1" t="s">
        <v>19</v>
      </c>
      <c r="K151" s="2">
        <v>0.5</v>
      </c>
      <c r="L151" s="1" t="s">
        <v>25</v>
      </c>
      <c r="M151" s="1" t="s">
        <v>249</v>
      </c>
    </row>
    <row r="152" spans="1:13" x14ac:dyDescent="0.3">
      <c r="A152" s="1" t="s">
        <v>250</v>
      </c>
      <c r="B152" s="2">
        <v>349</v>
      </c>
      <c r="C152" s="4">
        <v>182</v>
      </c>
      <c r="D152" s="5">
        <v>0.47</v>
      </c>
      <c r="E152" s="1" t="s">
        <v>22</v>
      </c>
      <c r="F152" s="1" t="s">
        <v>15</v>
      </c>
      <c r="G152" s="1" t="s">
        <v>16</v>
      </c>
      <c r="H152" s="1" t="s">
        <v>17</v>
      </c>
      <c r="I152" s="1" t="s">
        <v>539</v>
      </c>
      <c r="J152" s="1" t="s">
        <v>19</v>
      </c>
      <c r="K152" s="2">
        <v>1</v>
      </c>
      <c r="L152" s="1" t="s">
        <v>19</v>
      </c>
      <c r="M152" s="1" t="s">
        <v>251</v>
      </c>
    </row>
    <row r="153" spans="1:13" x14ac:dyDescent="0.3">
      <c r="A153" s="1" t="s">
        <v>252</v>
      </c>
      <c r="B153" s="2">
        <v>599</v>
      </c>
      <c r="C153" s="4">
        <v>126</v>
      </c>
      <c r="D153" s="5">
        <v>0.78</v>
      </c>
      <c r="E153" s="1" t="s">
        <v>22</v>
      </c>
      <c r="F153" s="1" t="s">
        <v>15</v>
      </c>
      <c r="G153" s="1" t="s">
        <v>16</v>
      </c>
      <c r="H153" s="1" t="s">
        <v>24</v>
      </c>
      <c r="I153" s="1" t="s">
        <v>539</v>
      </c>
      <c r="J153" s="1" t="s">
        <v>25</v>
      </c>
      <c r="K153" s="2">
        <v>1</v>
      </c>
      <c r="L153" s="1" t="s">
        <v>25</v>
      </c>
      <c r="M153" s="1" t="s">
        <v>26</v>
      </c>
    </row>
    <row r="154" spans="1:13" x14ac:dyDescent="0.3">
      <c r="A154" s="1" t="s">
        <v>68</v>
      </c>
      <c r="B154" s="2">
        <v>399</v>
      </c>
      <c r="C154" s="4">
        <v>123</v>
      </c>
      <c r="D154" s="5">
        <v>0.69</v>
      </c>
      <c r="E154" s="1" t="s">
        <v>22</v>
      </c>
      <c r="F154" s="1" t="s">
        <v>15</v>
      </c>
      <c r="G154" s="1" t="s">
        <v>28</v>
      </c>
      <c r="H154" s="1" t="s">
        <v>17</v>
      </c>
      <c r="I154" s="1" t="s">
        <v>539</v>
      </c>
      <c r="J154" s="1" t="s">
        <v>25</v>
      </c>
      <c r="K154" s="2">
        <v>0.5</v>
      </c>
      <c r="L154" s="1" t="s">
        <v>25</v>
      </c>
      <c r="M154" s="1" t="s">
        <v>69</v>
      </c>
    </row>
    <row r="155" spans="1:13" x14ac:dyDescent="0.3">
      <c r="A155" s="1" t="s">
        <v>253</v>
      </c>
      <c r="B155" s="2">
        <v>298</v>
      </c>
      <c r="C155" s="4">
        <v>127</v>
      </c>
      <c r="D155" s="5">
        <v>0.56999999999999995</v>
      </c>
      <c r="E155" s="1" t="s">
        <v>22</v>
      </c>
      <c r="F155" s="1" t="s">
        <v>15</v>
      </c>
      <c r="G155" s="1" t="s">
        <v>36</v>
      </c>
      <c r="H155" s="1" t="s">
        <v>24</v>
      </c>
      <c r="I155" s="1" t="s">
        <v>539</v>
      </c>
      <c r="J155" s="1" t="s">
        <v>25</v>
      </c>
      <c r="K155" s="2">
        <v>5</v>
      </c>
      <c r="L155" s="1" t="s">
        <v>25</v>
      </c>
      <c r="M155" s="1" t="s">
        <v>254</v>
      </c>
    </row>
    <row r="156" spans="1:13" x14ac:dyDescent="0.3">
      <c r="A156" s="1" t="s">
        <v>255</v>
      </c>
      <c r="B156" s="2">
        <v>280</v>
      </c>
      <c r="C156" s="4">
        <v>155</v>
      </c>
      <c r="D156" s="5">
        <v>0.44</v>
      </c>
      <c r="E156" s="1" t="s">
        <v>22</v>
      </c>
      <c r="F156" s="1" t="s">
        <v>15</v>
      </c>
      <c r="G156" s="1" t="s">
        <v>23</v>
      </c>
      <c r="H156" s="1" t="s">
        <v>17</v>
      </c>
      <c r="I156" s="1" t="s">
        <v>539</v>
      </c>
      <c r="J156" s="1" t="s">
        <v>25</v>
      </c>
      <c r="K156" s="2">
        <v>1</v>
      </c>
      <c r="L156" s="1" t="s">
        <v>25</v>
      </c>
      <c r="M156" s="1" t="s">
        <v>173</v>
      </c>
    </row>
    <row r="157" spans="1:13" x14ac:dyDescent="0.3">
      <c r="A157" s="1" t="s">
        <v>256</v>
      </c>
      <c r="B157" s="2">
        <v>305</v>
      </c>
      <c r="C157" s="4">
        <v>119</v>
      </c>
      <c r="D157" s="5">
        <v>0.6</v>
      </c>
      <c r="E157" s="1" t="s">
        <v>22</v>
      </c>
      <c r="F157" s="1" t="s">
        <v>15</v>
      </c>
      <c r="G157" s="1" t="s">
        <v>36</v>
      </c>
      <c r="H157" s="1" t="s">
        <v>93</v>
      </c>
      <c r="I157" s="1" t="s">
        <v>539</v>
      </c>
      <c r="J157" s="1" t="s">
        <v>25</v>
      </c>
      <c r="K157" s="2">
        <v>1</v>
      </c>
      <c r="L157" s="1" t="s">
        <v>25</v>
      </c>
      <c r="M157" s="1" t="s">
        <v>75</v>
      </c>
    </row>
    <row r="158" spans="1:13" x14ac:dyDescent="0.3">
      <c r="A158" s="1" t="s">
        <v>257</v>
      </c>
      <c r="B158" s="2">
        <v>399</v>
      </c>
      <c r="C158" s="4">
        <v>158</v>
      </c>
      <c r="D158" s="5">
        <v>0.6</v>
      </c>
      <c r="E158" s="1" t="s">
        <v>14</v>
      </c>
      <c r="F158" s="1" t="s">
        <v>15</v>
      </c>
      <c r="G158" s="1" t="s">
        <v>28</v>
      </c>
      <c r="H158" s="1" t="s">
        <v>17</v>
      </c>
      <c r="I158" s="1" t="s">
        <v>539</v>
      </c>
      <c r="J158" s="1" t="s">
        <v>25</v>
      </c>
      <c r="K158" s="2">
        <v>1</v>
      </c>
      <c r="L158" s="1" t="s">
        <v>25</v>
      </c>
      <c r="M158" s="1" t="s">
        <v>258</v>
      </c>
    </row>
    <row r="159" spans="1:13" x14ac:dyDescent="0.3">
      <c r="A159" s="1" t="s">
        <v>259</v>
      </c>
      <c r="B159" s="2">
        <v>247</v>
      </c>
      <c r="C159" s="4">
        <v>119</v>
      </c>
      <c r="D159" s="5">
        <v>0.51</v>
      </c>
      <c r="E159" s="1" t="s">
        <v>22</v>
      </c>
      <c r="F159" s="1" t="s">
        <v>15</v>
      </c>
      <c r="G159" s="1" t="s">
        <v>36</v>
      </c>
      <c r="H159" s="1" t="s">
        <v>17</v>
      </c>
      <c r="I159" s="1" t="s">
        <v>539</v>
      </c>
      <c r="J159" s="1" t="s">
        <v>25</v>
      </c>
      <c r="K159" s="2">
        <v>1</v>
      </c>
      <c r="L159" s="1" t="s">
        <v>25</v>
      </c>
      <c r="M159" s="1" t="s">
        <v>260</v>
      </c>
    </row>
    <row r="160" spans="1:13" x14ac:dyDescent="0.3">
      <c r="A160" s="1" t="s">
        <v>261</v>
      </c>
      <c r="B160" s="2">
        <v>450</v>
      </c>
      <c r="C160" s="4">
        <v>131</v>
      </c>
      <c r="D160" s="5">
        <v>0.7</v>
      </c>
      <c r="E160" s="1" t="s">
        <v>22</v>
      </c>
      <c r="F160" s="1" t="s">
        <v>15</v>
      </c>
      <c r="G160" s="1" t="s">
        <v>23</v>
      </c>
      <c r="H160" s="1" t="s">
        <v>17</v>
      </c>
      <c r="I160" s="1" t="s">
        <v>539</v>
      </c>
      <c r="J160" s="1" t="s">
        <v>19</v>
      </c>
      <c r="K160" s="2">
        <v>1</v>
      </c>
      <c r="L160" s="1" t="s">
        <v>25</v>
      </c>
      <c r="M160" s="1" t="s">
        <v>44</v>
      </c>
    </row>
    <row r="161" spans="1:13" x14ac:dyDescent="0.3">
      <c r="A161" s="1" t="s">
        <v>114</v>
      </c>
      <c r="B161" s="2">
        <v>439</v>
      </c>
      <c r="C161" s="4">
        <v>119</v>
      </c>
      <c r="D161" s="5">
        <v>0.72</v>
      </c>
      <c r="E161" s="1" t="s">
        <v>22</v>
      </c>
      <c r="F161" s="1" t="s">
        <v>15</v>
      </c>
      <c r="G161" s="1" t="s">
        <v>36</v>
      </c>
      <c r="H161" s="1" t="s">
        <v>17</v>
      </c>
      <c r="I161" s="1" t="s">
        <v>539</v>
      </c>
      <c r="J161" s="1" t="s">
        <v>25</v>
      </c>
      <c r="K161" s="2">
        <v>0.6</v>
      </c>
      <c r="L161" s="1" t="s">
        <v>25</v>
      </c>
      <c r="M161" s="1" t="s">
        <v>26</v>
      </c>
    </row>
    <row r="162" spans="1:13" x14ac:dyDescent="0.3">
      <c r="A162" s="1" t="s">
        <v>262</v>
      </c>
      <c r="B162" s="2">
        <v>599</v>
      </c>
      <c r="C162" s="4">
        <v>126</v>
      </c>
      <c r="D162" s="5">
        <v>0.78</v>
      </c>
      <c r="E162" s="1" t="s">
        <v>22</v>
      </c>
      <c r="F162" s="1" t="s">
        <v>15</v>
      </c>
      <c r="G162" s="1" t="s">
        <v>23</v>
      </c>
      <c r="H162" s="1" t="s">
        <v>24</v>
      </c>
      <c r="I162" s="1" t="s">
        <v>539</v>
      </c>
      <c r="J162" s="1" t="s">
        <v>25</v>
      </c>
      <c r="K162" s="2">
        <v>1</v>
      </c>
      <c r="L162" s="1" t="s">
        <v>25</v>
      </c>
      <c r="M162" s="1" t="s">
        <v>26</v>
      </c>
    </row>
    <row r="163" spans="1:13" x14ac:dyDescent="0.3">
      <c r="A163" s="1" t="s">
        <v>263</v>
      </c>
      <c r="B163" s="2">
        <v>399</v>
      </c>
      <c r="C163" s="4">
        <v>126</v>
      </c>
      <c r="D163" s="5">
        <v>0.68</v>
      </c>
      <c r="E163" s="1" t="s">
        <v>22</v>
      </c>
      <c r="F163" s="1" t="s">
        <v>15</v>
      </c>
      <c r="G163" s="1" t="s">
        <v>23</v>
      </c>
      <c r="H163" s="1" t="s">
        <v>24</v>
      </c>
      <c r="I163" s="1" t="s">
        <v>539</v>
      </c>
      <c r="J163" s="1" t="s">
        <v>19</v>
      </c>
      <c r="K163" s="2">
        <v>1</v>
      </c>
      <c r="L163" s="1" t="s">
        <v>25</v>
      </c>
      <c r="M163" s="1" t="s">
        <v>72</v>
      </c>
    </row>
    <row r="164" spans="1:13" x14ac:dyDescent="0.3">
      <c r="A164" s="1" t="s">
        <v>264</v>
      </c>
      <c r="B164" s="2">
        <v>298</v>
      </c>
      <c r="C164" s="4">
        <v>123</v>
      </c>
      <c r="D164" s="5">
        <v>0.57999999999999996</v>
      </c>
      <c r="E164" s="1" t="s">
        <v>22</v>
      </c>
      <c r="F164" s="1" t="s">
        <v>15</v>
      </c>
      <c r="G164" s="1" t="s">
        <v>23</v>
      </c>
      <c r="H164" s="1" t="s">
        <v>24</v>
      </c>
      <c r="I164" s="1" t="s">
        <v>539</v>
      </c>
      <c r="J164" s="1" t="s">
        <v>25</v>
      </c>
      <c r="K164" s="2">
        <v>1</v>
      </c>
      <c r="L164" s="1" t="s">
        <v>25</v>
      </c>
      <c r="M164" s="1" t="s">
        <v>33</v>
      </c>
    </row>
    <row r="165" spans="1:13" x14ac:dyDescent="0.3">
      <c r="A165" s="1" t="s">
        <v>265</v>
      </c>
      <c r="B165" s="2">
        <v>499</v>
      </c>
      <c r="C165" s="4">
        <v>126</v>
      </c>
      <c r="D165" s="5">
        <v>0.74</v>
      </c>
      <c r="E165" s="1" t="s">
        <v>22</v>
      </c>
      <c r="F165" s="1" t="s">
        <v>15</v>
      </c>
      <c r="G165" s="1" t="s">
        <v>28</v>
      </c>
      <c r="H165" s="1" t="s">
        <v>24</v>
      </c>
      <c r="I165" s="1" t="s">
        <v>539</v>
      </c>
      <c r="J165" s="1" t="s">
        <v>19</v>
      </c>
      <c r="K165" s="2">
        <v>0.6</v>
      </c>
      <c r="L165" s="1" t="s">
        <v>25</v>
      </c>
      <c r="M165" s="1" t="s">
        <v>266</v>
      </c>
    </row>
    <row r="166" spans="1:13" x14ac:dyDescent="0.3">
      <c r="A166" s="1" t="s">
        <v>267</v>
      </c>
      <c r="B166" s="2">
        <v>499</v>
      </c>
      <c r="C166" s="4">
        <v>123</v>
      </c>
      <c r="D166" s="5">
        <v>0.75</v>
      </c>
      <c r="E166" s="1" t="s">
        <v>22</v>
      </c>
      <c r="F166" s="1" t="s">
        <v>15</v>
      </c>
      <c r="G166" s="1" t="s">
        <v>28</v>
      </c>
      <c r="H166" s="1" t="s">
        <v>24</v>
      </c>
      <c r="I166" s="1" t="s">
        <v>539</v>
      </c>
      <c r="J166" s="1" t="s">
        <v>19</v>
      </c>
      <c r="K166" s="2">
        <v>1</v>
      </c>
      <c r="L166" s="1" t="s">
        <v>25</v>
      </c>
      <c r="M166" s="1" t="s">
        <v>110</v>
      </c>
    </row>
    <row r="167" spans="1:13" x14ac:dyDescent="0.3">
      <c r="A167" s="1" t="s">
        <v>268</v>
      </c>
      <c r="B167" s="2">
        <v>389</v>
      </c>
      <c r="C167" s="4">
        <v>161</v>
      </c>
      <c r="D167" s="5">
        <v>0.57999999999999996</v>
      </c>
      <c r="E167" s="1" t="s">
        <v>14</v>
      </c>
      <c r="F167" s="1" t="s">
        <v>15</v>
      </c>
      <c r="G167" s="1" t="s">
        <v>28</v>
      </c>
      <c r="H167" s="1" t="s">
        <v>24</v>
      </c>
      <c r="I167" s="1" t="s">
        <v>539</v>
      </c>
      <c r="J167" s="1" t="s">
        <v>19</v>
      </c>
      <c r="K167" s="2">
        <v>20</v>
      </c>
      <c r="L167" s="1" t="s">
        <v>25</v>
      </c>
      <c r="M167" s="1" t="s">
        <v>72</v>
      </c>
    </row>
    <row r="168" spans="1:13" x14ac:dyDescent="0.3">
      <c r="A168" s="1" t="s">
        <v>269</v>
      </c>
      <c r="B168" s="2">
        <v>445</v>
      </c>
      <c r="C168" s="4">
        <v>299</v>
      </c>
      <c r="D168" s="5">
        <v>0.32</v>
      </c>
      <c r="E168" s="1" t="s">
        <v>22</v>
      </c>
      <c r="F168" s="1" t="s">
        <v>15</v>
      </c>
      <c r="G168" s="1" t="s">
        <v>105</v>
      </c>
      <c r="H168" s="1" t="s">
        <v>93</v>
      </c>
      <c r="I168" s="1" t="s">
        <v>18</v>
      </c>
      <c r="J168" s="1" t="s">
        <v>19</v>
      </c>
      <c r="K168" s="2">
        <v>1</v>
      </c>
      <c r="L168" s="1" t="s">
        <v>19</v>
      </c>
      <c r="M168" s="1" t="s">
        <v>53</v>
      </c>
    </row>
    <row r="169" spans="1:13" x14ac:dyDescent="0.3">
      <c r="A169" s="1" t="s">
        <v>270</v>
      </c>
      <c r="B169" s="2">
        <v>399</v>
      </c>
      <c r="C169" s="4">
        <v>137</v>
      </c>
      <c r="D169" s="5">
        <v>0.65</v>
      </c>
      <c r="E169" s="1" t="s">
        <v>14</v>
      </c>
      <c r="F169" s="1" t="s">
        <v>15</v>
      </c>
      <c r="G169" s="1" t="s">
        <v>23</v>
      </c>
      <c r="H169" s="1" t="s">
        <v>17</v>
      </c>
      <c r="I169" s="1" t="s">
        <v>539</v>
      </c>
      <c r="J169" s="1" t="s">
        <v>25</v>
      </c>
      <c r="K169" s="2">
        <v>1</v>
      </c>
      <c r="L169" s="1" t="s">
        <v>25</v>
      </c>
      <c r="M169" s="1" t="s">
        <v>271</v>
      </c>
    </row>
    <row r="170" spans="1:13" x14ac:dyDescent="0.3">
      <c r="A170" s="1" t="s">
        <v>143</v>
      </c>
      <c r="B170" s="2">
        <v>499</v>
      </c>
      <c r="C170" s="4">
        <v>122</v>
      </c>
      <c r="D170" s="5">
        <v>0.75</v>
      </c>
      <c r="E170" s="1" t="s">
        <v>22</v>
      </c>
      <c r="F170" s="1" t="s">
        <v>15</v>
      </c>
      <c r="G170" s="1" t="s">
        <v>23</v>
      </c>
      <c r="H170" s="1" t="s">
        <v>17</v>
      </c>
      <c r="I170" s="1" t="s">
        <v>539</v>
      </c>
      <c r="J170" s="1" t="s">
        <v>25</v>
      </c>
      <c r="K170" s="2">
        <v>1</v>
      </c>
      <c r="L170" s="1" t="s">
        <v>25</v>
      </c>
      <c r="M170" s="1" t="s">
        <v>39</v>
      </c>
    </row>
    <row r="171" spans="1:13" x14ac:dyDescent="0.3">
      <c r="A171" s="1" t="s">
        <v>272</v>
      </c>
      <c r="B171" s="2">
        <v>599</v>
      </c>
      <c r="C171" s="4">
        <v>125</v>
      </c>
      <c r="D171" s="5">
        <v>0.79</v>
      </c>
      <c r="E171" s="1" t="s">
        <v>22</v>
      </c>
      <c r="F171" s="1" t="s">
        <v>15</v>
      </c>
      <c r="G171" s="1" t="s">
        <v>36</v>
      </c>
      <c r="H171" s="1" t="s">
        <v>24</v>
      </c>
      <c r="I171" s="1" t="s">
        <v>539</v>
      </c>
      <c r="J171" s="1" t="s">
        <v>25</v>
      </c>
      <c r="K171" s="2">
        <v>1</v>
      </c>
      <c r="L171" s="1" t="s">
        <v>25</v>
      </c>
      <c r="M171" s="1" t="s">
        <v>26</v>
      </c>
    </row>
    <row r="172" spans="1:13" x14ac:dyDescent="0.3">
      <c r="A172" s="1" t="s">
        <v>273</v>
      </c>
      <c r="B172" s="2">
        <v>499</v>
      </c>
      <c r="C172" s="4">
        <v>129</v>
      </c>
      <c r="D172" s="5">
        <v>0.74</v>
      </c>
      <c r="E172" s="1" t="s">
        <v>14</v>
      </c>
      <c r="F172" s="1" t="s">
        <v>15</v>
      </c>
      <c r="G172" s="1" t="s">
        <v>23</v>
      </c>
      <c r="H172" s="1" t="s">
        <v>17</v>
      </c>
      <c r="I172" s="1" t="s">
        <v>539</v>
      </c>
      <c r="J172" s="1" t="s">
        <v>19</v>
      </c>
      <c r="K172" s="2">
        <v>1</v>
      </c>
      <c r="L172" s="1" t="s">
        <v>25</v>
      </c>
      <c r="M172" s="1" t="s">
        <v>39</v>
      </c>
    </row>
    <row r="173" spans="1:13" x14ac:dyDescent="0.3">
      <c r="A173" s="1" t="s">
        <v>202</v>
      </c>
      <c r="B173" s="2">
        <v>499</v>
      </c>
      <c r="C173" s="4">
        <v>119</v>
      </c>
      <c r="D173" s="5">
        <v>0.76</v>
      </c>
      <c r="E173" s="1" t="s">
        <v>14</v>
      </c>
      <c r="F173" s="1" t="s">
        <v>15</v>
      </c>
      <c r="G173" s="1" t="s">
        <v>23</v>
      </c>
      <c r="H173" s="1" t="s">
        <v>24</v>
      </c>
      <c r="I173" s="1" t="s">
        <v>539</v>
      </c>
      <c r="J173" s="1" t="s">
        <v>25</v>
      </c>
      <c r="K173" s="2">
        <v>1</v>
      </c>
      <c r="L173" s="1" t="s">
        <v>25</v>
      </c>
      <c r="M173" s="1" t="s">
        <v>26</v>
      </c>
    </row>
    <row r="174" spans="1:13" x14ac:dyDescent="0.3">
      <c r="A174" s="1" t="s">
        <v>274</v>
      </c>
      <c r="B174" s="2">
        <v>800</v>
      </c>
      <c r="C174" s="4">
        <v>390</v>
      </c>
      <c r="D174" s="5">
        <v>0.51</v>
      </c>
      <c r="E174" s="1" t="s">
        <v>22</v>
      </c>
      <c r="F174" s="1" t="s">
        <v>15</v>
      </c>
      <c r="G174" s="1" t="s">
        <v>52</v>
      </c>
      <c r="H174" s="1" t="s">
        <v>17</v>
      </c>
      <c r="I174" s="1" t="s">
        <v>539</v>
      </c>
      <c r="J174" s="1" t="s">
        <v>25</v>
      </c>
      <c r="K174" s="2">
        <v>4</v>
      </c>
      <c r="L174" s="1" t="s">
        <v>25</v>
      </c>
      <c r="M174" s="1" t="s">
        <v>80</v>
      </c>
    </row>
    <row r="175" spans="1:13" x14ac:dyDescent="0.3">
      <c r="A175" s="1" t="s">
        <v>275</v>
      </c>
      <c r="B175" s="2">
        <v>251</v>
      </c>
      <c r="C175" s="4">
        <v>118</v>
      </c>
      <c r="D175" s="5">
        <v>0.52</v>
      </c>
      <c r="E175" s="1" t="s">
        <v>22</v>
      </c>
      <c r="F175" s="1" t="s">
        <v>15</v>
      </c>
      <c r="G175" s="1" t="s">
        <v>28</v>
      </c>
      <c r="H175" s="1" t="s">
        <v>17</v>
      </c>
      <c r="I175" s="1" t="s">
        <v>539</v>
      </c>
      <c r="J175" s="1" t="s">
        <v>19</v>
      </c>
      <c r="K175" s="2">
        <v>1</v>
      </c>
      <c r="L175" s="1" t="s">
        <v>25</v>
      </c>
      <c r="M175" s="1" t="s">
        <v>165</v>
      </c>
    </row>
    <row r="176" spans="1:13" x14ac:dyDescent="0.3">
      <c r="A176" s="1" t="s">
        <v>276</v>
      </c>
      <c r="B176" s="2">
        <v>499</v>
      </c>
      <c r="C176" s="4">
        <v>210</v>
      </c>
      <c r="D176" s="5">
        <v>0.56999999999999995</v>
      </c>
      <c r="E176" s="1" t="s">
        <v>14</v>
      </c>
      <c r="F176" s="1" t="s">
        <v>15</v>
      </c>
      <c r="G176" s="1" t="s">
        <v>49</v>
      </c>
      <c r="H176" s="1" t="s">
        <v>24</v>
      </c>
      <c r="I176" s="1" t="s">
        <v>539</v>
      </c>
      <c r="J176" s="1" t="s">
        <v>19</v>
      </c>
      <c r="K176" s="2">
        <v>0.3</v>
      </c>
      <c r="L176" s="1" t="s">
        <v>19</v>
      </c>
      <c r="M176" s="1" t="s">
        <v>277</v>
      </c>
    </row>
    <row r="177" spans="1:13" x14ac:dyDescent="0.3">
      <c r="A177" s="1" t="s">
        <v>278</v>
      </c>
      <c r="B177" s="2">
        <v>425</v>
      </c>
      <c r="C177" s="4">
        <v>122</v>
      </c>
      <c r="D177" s="5">
        <v>0.71</v>
      </c>
      <c r="E177" s="1" t="s">
        <v>22</v>
      </c>
      <c r="F177" s="1" t="s">
        <v>15</v>
      </c>
      <c r="G177" s="1" t="s">
        <v>28</v>
      </c>
      <c r="H177" s="1" t="s">
        <v>24</v>
      </c>
      <c r="I177" s="1" t="s">
        <v>539</v>
      </c>
      <c r="J177" s="1" t="s">
        <v>25</v>
      </c>
      <c r="K177" s="2">
        <v>0.2</v>
      </c>
      <c r="L177" s="1" t="s">
        <v>25</v>
      </c>
      <c r="M177" s="1" t="s">
        <v>238</v>
      </c>
    </row>
    <row r="178" spans="1:13" x14ac:dyDescent="0.3">
      <c r="A178" s="1" t="s">
        <v>279</v>
      </c>
      <c r="B178" s="2">
        <v>399</v>
      </c>
      <c r="C178" s="4">
        <v>142</v>
      </c>
      <c r="D178" s="5">
        <v>0.64</v>
      </c>
      <c r="E178" s="1" t="s">
        <v>22</v>
      </c>
      <c r="F178" s="1" t="s">
        <v>15</v>
      </c>
      <c r="G178" s="1" t="s">
        <v>105</v>
      </c>
      <c r="H178" s="1" t="s">
        <v>24</v>
      </c>
      <c r="I178" s="1" t="s">
        <v>539</v>
      </c>
      <c r="J178" s="1" t="s">
        <v>19</v>
      </c>
      <c r="K178" s="2">
        <v>1</v>
      </c>
      <c r="L178" s="1" t="s">
        <v>19</v>
      </c>
      <c r="M178" s="1" t="s">
        <v>191</v>
      </c>
    </row>
    <row r="179" spans="1:13" x14ac:dyDescent="0.3">
      <c r="A179" s="1" t="s">
        <v>280</v>
      </c>
      <c r="B179" s="2">
        <v>849</v>
      </c>
      <c r="C179" s="4">
        <v>145</v>
      </c>
      <c r="D179" s="5">
        <v>0.82</v>
      </c>
      <c r="E179" s="1" t="s">
        <v>22</v>
      </c>
      <c r="F179" s="1" t="s">
        <v>15</v>
      </c>
      <c r="G179" s="1" t="s">
        <v>16</v>
      </c>
      <c r="H179" s="1" t="s">
        <v>24</v>
      </c>
      <c r="I179" s="1" t="s">
        <v>539</v>
      </c>
      <c r="J179" s="1" t="s">
        <v>25</v>
      </c>
      <c r="K179" s="2">
        <v>1</v>
      </c>
      <c r="L179" s="1" t="s">
        <v>25</v>
      </c>
      <c r="M179" s="1" t="s">
        <v>101</v>
      </c>
    </row>
    <row r="180" spans="1:13" x14ac:dyDescent="0.3">
      <c r="A180" s="1" t="s">
        <v>281</v>
      </c>
      <c r="B180" s="2">
        <v>384</v>
      </c>
      <c r="C180" s="4">
        <v>140</v>
      </c>
      <c r="D180" s="5">
        <v>0.63</v>
      </c>
      <c r="E180" s="1" t="s">
        <v>22</v>
      </c>
      <c r="F180" s="1" t="s">
        <v>15</v>
      </c>
      <c r="G180" s="1" t="s">
        <v>64</v>
      </c>
      <c r="H180" s="1" t="s">
        <v>17</v>
      </c>
      <c r="I180" s="1" t="s">
        <v>18</v>
      </c>
      <c r="J180" s="1" t="s">
        <v>19</v>
      </c>
      <c r="K180" s="2">
        <v>1</v>
      </c>
      <c r="L180" s="1" t="s">
        <v>25</v>
      </c>
      <c r="M180" s="1" t="s">
        <v>282</v>
      </c>
    </row>
    <row r="181" spans="1:13" x14ac:dyDescent="0.3">
      <c r="A181" s="1" t="s">
        <v>283</v>
      </c>
      <c r="B181" s="2">
        <v>599</v>
      </c>
      <c r="C181" s="4">
        <v>129</v>
      </c>
      <c r="D181" s="5">
        <v>0.78</v>
      </c>
      <c r="E181" s="1" t="s">
        <v>22</v>
      </c>
      <c r="F181" s="1" t="s">
        <v>15</v>
      </c>
      <c r="G181" s="1" t="s">
        <v>28</v>
      </c>
      <c r="H181" s="1" t="s">
        <v>17</v>
      </c>
      <c r="I181" s="1" t="s">
        <v>539</v>
      </c>
      <c r="J181" s="1" t="s">
        <v>25</v>
      </c>
      <c r="K181" s="2">
        <v>1</v>
      </c>
      <c r="L181" s="1" t="s">
        <v>25</v>
      </c>
      <c r="M181" s="1" t="s">
        <v>284</v>
      </c>
    </row>
    <row r="182" spans="1:13" x14ac:dyDescent="0.3">
      <c r="A182" s="1" t="s">
        <v>285</v>
      </c>
      <c r="B182" s="2">
        <v>299</v>
      </c>
      <c r="C182" s="4">
        <v>126</v>
      </c>
      <c r="D182" s="5">
        <v>0.56999999999999995</v>
      </c>
      <c r="E182" s="1" t="s">
        <v>22</v>
      </c>
      <c r="F182" s="1" t="s">
        <v>15</v>
      </c>
      <c r="G182" s="1" t="s">
        <v>28</v>
      </c>
      <c r="H182" s="1" t="s">
        <v>17</v>
      </c>
      <c r="I182" s="1" t="s">
        <v>539</v>
      </c>
      <c r="J182" s="1" t="s">
        <v>19</v>
      </c>
      <c r="K182" s="2">
        <v>1</v>
      </c>
      <c r="L182" s="1" t="s">
        <v>25</v>
      </c>
      <c r="M182" s="1" t="s">
        <v>39</v>
      </c>
    </row>
    <row r="183" spans="1:13" x14ac:dyDescent="0.3">
      <c r="A183" s="1" t="s">
        <v>286</v>
      </c>
      <c r="B183" s="2">
        <v>499</v>
      </c>
      <c r="C183" s="4">
        <v>126</v>
      </c>
      <c r="D183" s="5">
        <v>0.74</v>
      </c>
      <c r="E183" s="1" t="s">
        <v>22</v>
      </c>
      <c r="F183" s="1" t="s">
        <v>15</v>
      </c>
      <c r="G183" s="1" t="s">
        <v>64</v>
      </c>
      <c r="H183" s="1" t="s">
        <v>17</v>
      </c>
      <c r="I183" s="1" t="s">
        <v>539</v>
      </c>
      <c r="J183" s="1" t="s">
        <v>25</v>
      </c>
      <c r="K183" s="2">
        <v>1</v>
      </c>
      <c r="L183" s="1" t="s">
        <v>25</v>
      </c>
      <c r="M183" s="1" t="s">
        <v>55</v>
      </c>
    </row>
    <row r="184" spans="1:13" x14ac:dyDescent="0.3">
      <c r="A184" s="1" t="s">
        <v>287</v>
      </c>
      <c r="B184" s="2">
        <v>1200</v>
      </c>
      <c r="C184" s="4">
        <v>133</v>
      </c>
      <c r="D184" s="5">
        <v>0.88</v>
      </c>
      <c r="E184" s="1" t="s">
        <v>22</v>
      </c>
      <c r="F184" s="1" t="s">
        <v>15</v>
      </c>
      <c r="G184" s="1" t="s">
        <v>28</v>
      </c>
      <c r="H184" s="1" t="s">
        <v>17</v>
      </c>
      <c r="I184" s="1" t="s">
        <v>539</v>
      </c>
      <c r="J184" s="1" t="s">
        <v>25</v>
      </c>
      <c r="K184" s="2">
        <v>1</v>
      </c>
      <c r="L184" s="1" t="s">
        <v>25</v>
      </c>
      <c r="M184" s="1" t="s">
        <v>218</v>
      </c>
    </row>
    <row r="185" spans="1:13" x14ac:dyDescent="0.3">
      <c r="A185" s="1" t="s">
        <v>73</v>
      </c>
      <c r="B185" s="2">
        <v>599</v>
      </c>
      <c r="C185" s="4">
        <v>125</v>
      </c>
      <c r="D185" s="5">
        <v>0.79</v>
      </c>
      <c r="E185" s="1" t="s">
        <v>22</v>
      </c>
      <c r="F185" s="1" t="s">
        <v>15</v>
      </c>
      <c r="G185" s="1" t="s">
        <v>28</v>
      </c>
      <c r="H185" s="1" t="s">
        <v>24</v>
      </c>
      <c r="I185" s="1" t="s">
        <v>539</v>
      </c>
      <c r="J185" s="1" t="s">
        <v>25</v>
      </c>
      <c r="K185" s="2">
        <v>1</v>
      </c>
      <c r="L185" s="1" t="s">
        <v>25</v>
      </c>
      <c r="M185" s="1" t="s">
        <v>26</v>
      </c>
    </row>
    <row r="186" spans="1:13" x14ac:dyDescent="0.3">
      <c r="A186" s="1" t="s">
        <v>288</v>
      </c>
      <c r="B186" s="2">
        <v>799</v>
      </c>
      <c r="C186" s="4">
        <v>174</v>
      </c>
      <c r="D186" s="5">
        <v>0.78</v>
      </c>
      <c r="E186" s="1" t="s">
        <v>14</v>
      </c>
      <c r="F186" s="1" t="s">
        <v>15</v>
      </c>
      <c r="G186" s="1" t="s">
        <v>52</v>
      </c>
      <c r="H186" s="1" t="s">
        <v>93</v>
      </c>
      <c r="I186" s="1" t="s">
        <v>18</v>
      </c>
      <c r="J186" s="1" t="s">
        <v>25</v>
      </c>
      <c r="K186" s="2">
        <v>2</v>
      </c>
      <c r="L186" s="1" t="s">
        <v>25</v>
      </c>
      <c r="M186" s="1" t="s">
        <v>289</v>
      </c>
    </row>
    <row r="187" spans="1:13" x14ac:dyDescent="0.3">
      <c r="A187" s="1" t="s">
        <v>290</v>
      </c>
      <c r="B187" s="2">
        <v>299</v>
      </c>
      <c r="C187" s="4">
        <v>135</v>
      </c>
      <c r="D187" s="5">
        <v>0.54</v>
      </c>
      <c r="E187" s="1" t="s">
        <v>22</v>
      </c>
      <c r="F187" s="1" t="s">
        <v>15</v>
      </c>
      <c r="G187" s="1" t="s">
        <v>36</v>
      </c>
      <c r="H187" s="1" t="s">
        <v>17</v>
      </c>
      <c r="I187" s="1" t="s">
        <v>539</v>
      </c>
      <c r="J187" s="1" t="s">
        <v>19</v>
      </c>
      <c r="K187" s="2">
        <v>1</v>
      </c>
      <c r="L187" s="1" t="s">
        <v>25</v>
      </c>
      <c r="M187" s="1" t="s">
        <v>282</v>
      </c>
    </row>
    <row r="188" spans="1:13" x14ac:dyDescent="0.3">
      <c r="A188" s="1" t="s">
        <v>291</v>
      </c>
      <c r="B188" s="2">
        <v>1999</v>
      </c>
      <c r="C188" s="4">
        <v>599</v>
      </c>
      <c r="D188" s="5">
        <v>0.7</v>
      </c>
      <c r="E188" s="1" t="s">
        <v>22</v>
      </c>
      <c r="F188" s="1" t="s">
        <v>15</v>
      </c>
      <c r="G188" s="1" t="s">
        <v>52</v>
      </c>
      <c r="H188" s="1" t="s">
        <v>24</v>
      </c>
      <c r="I188" s="1" t="s">
        <v>18</v>
      </c>
      <c r="J188" s="1" t="s">
        <v>25</v>
      </c>
      <c r="K188" s="2">
        <v>1</v>
      </c>
      <c r="L188" s="1" t="s">
        <v>19</v>
      </c>
      <c r="M188" s="1" t="s">
        <v>53</v>
      </c>
    </row>
    <row r="189" spans="1:13" x14ac:dyDescent="0.3">
      <c r="A189" s="1" t="s">
        <v>292</v>
      </c>
      <c r="B189" s="2">
        <v>449</v>
      </c>
      <c r="C189" s="4">
        <v>145</v>
      </c>
      <c r="D189" s="5">
        <v>0.67</v>
      </c>
      <c r="E189" s="1" t="s">
        <v>22</v>
      </c>
      <c r="F189" s="1" t="s">
        <v>15</v>
      </c>
      <c r="G189" s="1" t="s">
        <v>28</v>
      </c>
      <c r="H189" s="1" t="s">
        <v>24</v>
      </c>
      <c r="I189" s="1" t="s">
        <v>18</v>
      </c>
      <c r="J189" s="1" t="s">
        <v>19</v>
      </c>
      <c r="K189" s="2">
        <v>1</v>
      </c>
      <c r="L189" s="1" t="s">
        <v>25</v>
      </c>
      <c r="M189" s="1" t="s">
        <v>293</v>
      </c>
    </row>
    <row r="190" spans="1:13" x14ac:dyDescent="0.3">
      <c r="A190" s="1" t="s">
        <v>294</v>
      </c>
      <c r="B190" s="2">
        <v>499</v>
      </c>
      <c r="C190" s="4">
        <v>139</v>
      </c>
      <c r="D190" s="5">
        <v>0.72</v>
      </c>
      <c r="E190" s="1" t="s">
        <v>22</v>
      </c>
      <c r="F190" s="1" t="s">
        <v>15</v>
      </c>
      <c r="G190" s="1" t="s">
        <v>23</v>
      </c>
      <c r="H190" s="1" t="s">
        <v>24</v>
      </c>
      <c r="I190" s="1" t="s">
        <v>539</v>
      </c>
      <c r="J190" s="1" t="s">
        <v>19</v>
      </c>
      <c r="K190" s="2">
        <v>1</v>
      </c>
      <c r="L190" s="1" t="s">
        <v>25</v>
      </c>
      <c r="M190" s="1" t="s">
        <v>72</v>
      </c>
    </row>
    <row r="191" spans="1:13" x14ac:dyDescent="0.3">
      <c r="A191" s="1" t="s">
        <v>295</v>
      </c>
      <c r="B191" s="2">
        <v>1200</v>
      </c>
      <c r="C191" s="4">
        <v>125</v>
      </c>
      <c r="D191" s="5">
        <v>0.89</v>
      </c>
      <c r="E191" s="1" t="s">
        <v>22</v>
      </c>
      <c r="F191" s="1" t="s">
        <v>15</v>
      </c>
      <c r="G191" s="1" t="s">
        <v>52</v>
      </c>
      <c r="H191" s="1" t="s">
        <v>24</v>
      </c>
      <c r="I191" s="1" t="s">
        <v>18</v>
      </c>
      <c r="J191" s="1" t="s">
        <v>25</v>
      </c>
      <c r="K191" s="2">
        <v>2</v>
      </c>
      <c r="L191" s="1" t="s">
        <v>19</v>
      </c>
      <c r="M191" s="1" t="s">
        <v>296</v>
      </c>
    </row>
    <row r="192" spans="1:13" x14ac:dyDescent="0.3">
      <c r="A192" s="1" t="s">
        <v>297</v>
      </c>
      <c r="B192" s="2">
        <v>295</v>
      </c>
      <c r="C192" s="4">
        <v>127</v>
      </c>
      <c r="D192" s="5">
        <v>0.56000000000000005</v>
      </c>
      <c r="E192" s="1" t="s">
        <v>22</v>
      </c>
      <c r="F192" s="1" t="s">
        <v>15</v>
      </c>
      <c r="G192" s="1" t="s">
        <v>49</v>
      </c>
      <c r="H192" s="1" t="s">
        <v>24</v>
      </c>
      <c r="I192" s="1" t="s">
        <v>18</v>
      </c>
      <c r="J192" s="1" t="s">
        <v>25</v>
      </c>
      <c r="K192" s="2">
        <v>1</v>
      </c>
      <c r="L192" s="1" t="s">
        <v>19</v>
      </c>
      <c r="M192" s="1" t="s">
        <v>298</v>
      </c>
    </row>
    <row r="193" spans="1:13" x14ac:dyDescent="0.3">
      <c r="A193" s="1" t="s">
        <v>299</v>
      </c>
      <c r="B193" s="2">
        <v>550</v>
      </c>
      <c r="C193" s="4">
        <v>275</v>
      </c>
      <c r="D193" s="5">
        <v>0.5</v>
      </c>
      <c r="E193" s="1" t="s">
        <v>14</v>
      </c>
      <c r="F193" s="1" t="s">
        <v>15</v>
      </c>
      <c r="G193" s="1" t="s">
        <v>49</v>
      </c>
      <c r="H193" s="1" t="s">
        <v>17</v>
      </c>
      <c r="I193" s="1" t="s">
        <v>539</v>
      </c>
      <c r="J193" s="1" t="s">
        <v>25</v>
      </c>
      <c r="K193" s="2">
        <v>1</v>
      </c>
      <c r="L193" s="1" t="s">
        <v>19</v>
      </c>
      <c r="M193" s="1" t="s">
        <v>300</v>
      </c>
    </row>
    <row r="194" spans="1:13" x14ac:dyDescent="0.3">
      <c r="A194" s="1" t="s">
        <v>301</v>
      </c>
      <c r="B194" s="2">
        <v>399</v>
      </c>
      <c r="C194" s="4">
        <v>126</v>
      </c>
      <c r="D194" s="5">
        <v>0.68</v>
      </c>
      <c r="E194" s="1" t="s">
        <v>14</v>
      </c>
      <c r="F194" s="1" t="s">
        <v>15</v>
      </c>
      <c r="G194" s="1" t="s">
        <v>23</v>
      </c>
      <c r="H194" s="1" t="s">
        <v>17</v>
      </c>
      <c r="I194" s="1" t="s">
        <v>539</v>
      </c>
      <c r="J194" s="1" t="s">
        <v>25</v>
      </c>
      <c r="K194" s="2">
        <v>1</v>
      </c>
      <c r="L194" s="1" t="s">
        <v>25</v>
      </c>
      <c r="M194" s="1" t="s">
        <v>125</v>
      </c>
    </row>
    <row r="195" spans="1:13" x14ac:dyDescent="0.3">
      <c r="A195" s="1" t="s">
        <v>239</v>
      </c>
      <c r="B195" s="2">
        <v>599</v>
      </c>
      <c r="C195" s="4">
        <v>128</v>
      </c>
      <c r="D195" s="5">
        <v>0.78</v>
      </c>
      <c r="E195" s="1" t="s">
        <v>22</v>
      </c>
      <c r="F195" s="1" t="s">
        <v>15</v>
      </c>
      <c r="G195" s="1" t="s">
        <v>23</v>
      </c>
      <c r="H195" s="1" t="s">
        <v>24</v>
      </c>
      <c r="I195" s="1" t="s">
        <v>539</v>
      </c>
      <c r="J195" s="1" t="s">
        <v>25</v>
      </c>
      <c r="K195" s="2">
        <v>1</v>
      </c>
      <c r="L195" s="1" t="s">
        <v>25</v>
      </c>
      <c r="M195" s="1" t="s">
        <v>26</v>
      </c>
    </row>
    <row r="196" spans="1:13" x14ac:dyDescent="0.3">
      <c r="A196" s="1" t="s">
        <v>302</v>
      </c>
      <c r="B196" s="2">
        <v>1399</v>
      </c>
      <c r="C196" s="4">
        <v>129</v>
      </c>
      <c r="D196" s="5">
        <v>0.9</v>
      </c>
      <c r="E196" s="1" t="s">
        <v>22</v>
      </c>
      <c r="F196" s="1" t="s">
        <v>15</v>
      </c>
      <c r="G196" s="1" t="s">
        <v>52</v>
      </c>
      <c r="H196" s="1" t="s">
        <v>24</v>
      </c>
      <c r="I196" s="1" t="s">
        <v>18</v>
      </c>
      <c r="J196" s="1" t="s">
        <v>25</v>
      </c>
      <c r="K196" s="2">
        <v>2</v>
      </c>
      <c r="L196" s="1" t="s">
        <v>19</v>
      </c>
      <c r="M196" s="1" t="s">
        <v>303</v>
      </c>
    </row>
    <row r="197" spans="1:13" x14ac:dyDescent="0.3">
      <c r="A197" s="1" t="s">
        <v>304</v>
      </c>
      <c r="B197" s="2">
        <v>399</v>
      </c>
      <c r="C197" s="4">
        <v>127</v>
      </c>
      <c r="D197" s="5">
        <v>0.68</v>
      </c>
      <c r="E197" s="1" t="s">
        <v>14</v>
      </c>
      <c r="F197" s="1" t="s">
        <v>15</v>
      </c>
      <c r="G197" s="1" t="s">
        <v>46</v>
      </c>
      <c r="H197" s="1" t="s">
        <v>24</v>
      </c>
      <c r="I197" s="1" t="s">
        <v>539</v>
      </c>
      <c r="J197" s="1" t="s">
        <v>19</v>
      </c>
      <c r="K197" s="2">
        <v>0.3</v>
      </c>
      <c r="L197" s="1" t="s">
        <v>25</v>
      </c>
      <c r="M197" s="1" t="s">
        <v>305</v>
      </c>
    </row>
    <row r="198" spans="1:13" x14ac:dyDescent="0.3">
      <c r="A198" s="1" t="s">
        <v>306</v>
      </c>
      <c r="B198" s="2">
        <v>499</v>
      </c>
      <c r="C198" s="4">
        <v>128</v>
      </c>
      <c r="D198" s="5">
        <v>0.74</v>
      </c>
      <c r="E198" s="1" t="s">
        <v>22</v>
      </c>
      <c r="F198" s="1" t="s">
        <v>15</v>
      </c>
      <c r="G198" s="1" t="s">
        <v>23</v>
      </c>
      <c r="H198" s="1" t="s">
        <v>17</v>
      </c>
      <c r="I198" s="1" t="s">
        <v>539</v>
      </c>
      <c r="J198" s="1" t="s">
        <v>25</v>
      </c>
      <c r="K198" s="2">
        <v>1</v>
      </c>
      <c r="L198" s="1" t="s">
        <v>25</v>
      </c>
      <c r="M198" s="1" t="s">
        <v>130</v>
      </c>
    </row>
    <row r="199" spans="1:13" x14ac:dyDescent="0.3">
      <c r="A199" s="1" t="s">
        <v>307</v>
      </c>
      <c r="B199" s="2">
        <v>349</v>
      </c>
      <c r="C199" s="4">
        <v>163</v>
      </c>
      <c r="D199" s="5">
        <v>0.53</v>
      </c>
      <c r="E199" s="1" t="s">
        <v>22</v>
      </c>
      <c r="F199" s="1" t="s">
        <v>15</v>
      </c>
      <c r="G199" s="1" t="s">
        <v>52</v>
      </c>
      <c r="H199" s="1" t="s">
        <v>24</v>
      </c>
      <c r="I199" s="1" t="s">
        <v>539</v>
      </c>
      <c r="J199" s="1" t="s">
        <v>25</v>
      </c>
      <c r="K199" s="2">
        <v>1</v>
      </c>
      <c r="L199" s="1" t="s">
        <v>25</v>
      </c>
      <c r="M199" s="1" t="s">
        <v>308</v>
      </c>
    </row>
    <row r="200" spans="1:13" x14ac:dyDescent="0.3">
      <c r="A200" s="1" t="s">
        <v>309</v>
      </c>
      <c r="B200" s="2">
        <v>788</v>
      </c>
      <c r="C200" s="4">
        <v>132</v>
      </c>
      <c r="D200" s="5">
        <v>0.83</v>
      </c>
      <c r="E200" s="1" t="s">
        <v>22</v>
      </c>
      <c r="F200" s="1" t="s">
        <v>15</v>
      </c>
      <c r="G200" s="1" t="s">
        <v>141</v>
      </c>
      <c r="H200" s="1" t="s">
        <v>17</v>
      </c>
      <c r="I200" s="1" t="s">
        <v>539</v>
      </c>
      <c r="J200" s="1" t="s">
        <v>25</v>
      </c>
      <c r="K200" s="2">
        <v>1</v>
      </c>
      <c r="L200" s="1" t="s">
        <v>25</v>
      </c>
      <c r="M200" s="1" t="s">
        <v>310</v>
      </c>
    </row>
    <row r="201" spans="1:13" x14ac:dyDescent="0.3">
      <c r="A201" s="1" t="s">
        <v>311</v>
      </c>
      <c r="B201" s="2">
        <v>449</v>
      </c>
      <c r="C201" s="4">
        <v>140</v>
      </c>
      <c r="D201" s="5">
        <v>0.68</v>
      </c>
      <c r="E201" s="1" t="s">
        <v>22</v>
      </c>
      <c r="F201" s="1" t="s">
        <v>15</v>
      </c>
      <c r="G201" s="1" t="s">
        <v>28</v>
      </c>
      <c r="H201" s="1" t="s">
        <v>17</v>
      </c>
      <c r="I201" s="1" t="s">
        <v>539</v>
      </c>
      <c r="J201" s="1" t="s">
        <v>19</v>
      </c>
      <c r="K201" s="2">
        <v>1</v>
      </c>
      <c r="L201" s="1" t="s">
        <v>25</v>
      </c>
      <c r="M201" s="1" t="s">
        <v>44</v>
      </c>
    </row>
    <row r="202" spans="1:13" x14ac:dyDescent="0.3">
      <c r="A202" s="1" t="s">
        <v>312</v>
      </c>
      <c r="B202" s="2">
        <v>749</v>
      </c>
      <c r="C202" s="4">
        <v>130</v>
      </c>
      <c r="D202" s="5">
        <v>0.82</v>
      </c>
      <c r="E202" s="1" t="s">
        <v>22</v>
      </c>
      <c r="F202" s="1" t="s">
        <v>15</v>
      </c>
      <c r="G202" s="1" t="s">
        <v>64</v>
      </c>
      <c r="H202" s="1" t="s">
        <v>17</v>
      </c>
      <c r="I202" s="1" t="s">
        <v>539</v>
      </c>
      <c r="J202" s="1" t="s">
        <v>25</v>
      </c>
      <c r="K202" s="2">
        <v>1</v>
      </c>
      <c r="L202" s="1" t="s">
        <v>25</v>
      </c>
      <c r="M202" s="1" t="s">
        <v>96</v>
      </c>
    </row>
    <row r="203" spans="1:13" x14ac:dyDescent="0.3">
      <c r="A203" s="1" t="s">
        <v>313</v>
      </c>
      <c r="B203" s="2">
        <v>494</v>
      </c>
      <c r="C203" s="4">
        <v>129</v>
      </c>
      <c r="D203" s="5">
        <v>0.73</v>
      </c>
      <c r="E203" s="1" t="s">
        <v>14</v>
      </c>
      <c r="F203" s="1" t="s">
        <v>15</v>
      </c>
      <c r="G203" s="1" t="s">
        <v>23</v>
      </c>
      <c r="H203" s="1" t="s">
        <v>24</v>
      </c>
      <c r="I203" s="1" t="s">
        <v>539</v>
      </c>
      <c r="J203" s="1" t="s">
        <v>25</v>
      </c>
      <c r="K203" s="2">
        <v>1</v>
      </c>
      <c r="L203" s="1" t="s">
        <v>25</v>
      </c>
      <c r="M203" s="1" t="s">
        <v>26</v>
      </c>
    </row>
    <row r="204" spans="1:13" x14ac:dyDescent="0.3">
      <c r="A204" s="1" t="s">
        <v>314</v>
      </c>
      <c r="B204" s="2">
        <v>499</v>
      </c>
      <c r="C204" s="4">
        <v>155</v>
      </c>
      <c r="D204" s="5">
        <v>0.68</v>
      </c>
      <c r="E204" s="1" t="s">
        <v>22</v>
      </c>
      <c r="F204" s="1" t="s">
        <v>15</v>
      </c>
      <c r="G204" s="1" t="s">
        <v>28</v>
      </c>
      <c r="H204" s="1" t="s">
        <v>17</v>
      </c>
      <c r="I204" s="1" t="s">
        <v>539</v>
      </c>
      <c r="J204" s="1" t="s">
        <v>19</v>
      </c>
      <c r="K204" s="2">
        <v>1</v>
      </c>
      <c r="L204" s="1" t="s">
        <v>25</v>
      </c>
      <c r="M204" s="1" t="s">
        <v>315</v>
      </c>
    </row>
    <row r="205" spans="1:13" x14ac:dyDescent="0.3">
      <c r="A205" s="1" t="s">
        <v>316</v>
      </c>
      <c r="B205" s="2">
        <v>349</v>
      </c>
      <c r="C205" s="4">
        <v>239</v>
      </c>
      <c r="D205" s="5">
        <v>0.31</v>
      </c>
      <c r="E205" s="1" t="s">
        <v>22</v>
      </c>
      <c r="F205" s="1" t="s">
        <v>15</v>
      </c>
      <c r="G205" s="1" t="s">
        <v>105</v>
      </c>
      <c r="H205" s="1" t="s">
        <v>24</v>
      </c>
      <c r="I205" s="1" t="s">
        <v>18</v>
      </c>
      <c r="J205" s="1" t="s">
        <v>19</v>
      </c>
      <c r="K205" s="2">
        <v>1</v>
      </c>
      <c r="L205" s="1" t="s">
        <v>19</v>
      </c>
      <c r="M205" s="1" t="s">
        <v>53</v>
      </c>
    </row>
    <row r="206" spans="1:13" x14ac:dyDescent="0.3">
      <c r="A206" s="1" t="s">
        <v>317</v>
      </c>
      <c r="B206" s="2">
        <v>999</v>
      </c>
      <c r="C206" s="4">
        <v>129</v>
      </c>
      <c r="D206" s="5">
        <v>0.87</v>
      </c>
      <c r="E206" s="1" t="s">
        <v>14</v>
      </c>
      <c r="F206" s="1" t="s">
        <v>15</v>
      </c>
      <c r="G206" s="1" t="s">
        <v>52</v>
      </c>
      <c r="H206" s="1" t="s">
        <v>17</v>
      </c>
      <c r="I206" s="1" t="s">
        <v>539</v>
      </c>
      <c r="J206" s="1" t="s">
        <v>25</v>
      </c>
      <c r="K206" s="2">
        <v>10</v>
      </c>
      <c r="L206" s="1" t="s">
        <v>25</v>
      </c>
      <c r="M206" s="1" t="s">
        <v>318</v>
      </c>
    </row>
    <row r="207" spans="1:13" x14ac:dyDescent="0.3">
      <c r="A207" s="1" t="s">
        <v>319</v>
      </c>
      <c r="B207" s="2">
        <v>799</v>
      </c>
      <c r="C207" s="4">
        <v>128</v>
      </c>
      <c r="D207" s="5">
        <v>0.83</v>
      </c>
      <c r="E207" s="1" t="s">
        <v>14</v>
      </c>
      <c r="F207" s="1" t="s">
        <v>15</v>
      </c>
      <c r="G207" s="1" t="s">
        <v>28</v>
      </c>
      <c r="H207" s="1" t="s">
        <v>24</v>
      </c>
      <c r="I207" s="1" t="s">
        <v>539</v>
      </c>
      <c r="J207" s="1" t="s">
        <v>19</v>
      </c>
      <c r="K207" s="2">
        <v>1</v>
      </c>
      <c r="L207" s="1" t="s">
        <v>25</v>
      </c>
      <c r="M207" s="1" t="s">
        <v>320</v>
      </c>
    </row>
    <row r="208" spans="1:13" x14ac:dyDescent="0.3">
      <c r="A208" s="1" t="s">
        <v>321</v>
      </c>
      <c r="B208" s="2">
        <v>766</v>
      </c>
      <c r="C208" s="4">
        <v>128</v>
      </c>
      <c r="D208" s="5">
        <v>0.83</v>
      </c>
      <c r="E208" s="1" t="s">
        <v>22</v>
      </c>
      <c r="F208" s="1" t="s">
        <v>15</v>
      </c>
      <c r="G208" s="1" t="s">
        <v>52</v>
      </c>
      <c r="H208" s="1" t="s">
        <v>24</v>
      </c>
      <c r="I208" s="1" t="s">
        <v>18</v>
      </c>
      <c r="J208" s="1" t="s">
        <v>25</v>
      </c>
      <c r="K208" s="2">
        <v>2</v>
      </c>
      <c r="L208" s="1" t="s">
        <v>19</v>
      </c>
      <c r="M208" s="1" t="s">
        <v>322</v>
      </c>
    </row>
    <row r="209" spans="1:13" x14ac:dyDescent="0.3">
      <c r="A209" s="1" t="s">
        <v>304</v>
      </c>
      <c r="B209" s="2">
        <v>399</v>
      </c>
      <c r="C209" s="4">
        <v>126</v>
      </c>
      <c r="D209" s="5">
        <v>0.68</v>
      </c>
      <c r="E209" s="1" t="s">
        <v>14</v>
      </c>
      <c r="F209" s="1" t="s">
        <v>15</v>
      </c>
      <c r="G209" s="1" t="s">
        <v>46</v>
      </c>
      <c r="H209" s="1" t="s">
        <v>24</v>
      </c>
      <c r="I209" s="1" t="s">
        <v>539</v>
      </c>
      <c r="J209" s="1" t="s">
        <v>19</v>
      </c>
      <c r="K209" s="2">
        <v>0.6</v>
      </c>
      <c r="L209" s="1" t="s">
        <v>25</v>
      </c>
      <c r="M209" s="1" t="s">
        <v>305</v>
      </c>
    </row>
    <row r="210" spans="1:13" x14ac:dyDescent="0.3">
      <c r="A210" s="1" t="s">
        <v>323</v>
      </c>
      <c r="B210" s="2">
        <v>499</v>
      </c>
      <c r="C210" s="4">
        <v>139</v>
      </c>
      <c r="D210" s="5">
        <v>0.72</v>
      </c>
      <c r="E210" s="1" t="s">
        <v>14</v>
      </c>
      <c r="F210" s="1" t="s">
        <v>15</v>
      </c>
      <c r="G210" s="1" t="s">
        <v>36</v>
      </c>
      <c r="H210" s="1" t="s">
        <v>24</v>
      </c>
      <c r="I210" s="1" t="s">
        <v>539</v>
      </c>
      <c r="J210" s="1" t="s">
        <v>19</v>
      </c>
      <c r="K210" s="2">
        <v>10</v>
      </c>
      <c r="L210" s="1" t="s">
        <v>25</v>
      </c>
      <c r="M210" s="1" t="s">
        <v>72</v>
      </c>
    </row>
    <row r="211" spans="1:13" x14ac:dyDescent="0.3">
      <c r="A211" s="1" t="s">
        <v>324</v>
      </c>
      <c r="B211" s="2">
        <v>499</v>
      </c>
      <c r="C211" s="4">
        <v>160</v>
      </c>
      <c r="D211" s="5">
        <v>0.67</v>
      </c>
      <c r="E211" s="1" t="s">
        <v>22</v>
      </c>
      <c r="F211" s="1" t="s">
        <v>15</v>
      </c>
      <c r="G211" s="1" t="s">
        <v>52</v>
      </c>
      <c r="H211" s="1" t="s">
        <v>17</v>
      </c>
      <c r="I211" s="1" t="s">
        <v>539</v>
      </c>
      <c r="J211" s="1" t="s">
        <v>25</v>
      </c>
      <c r="K211" s="2">
        <v>1</v>
      </c>
      <c r="L211" s="1" t="s">
        <v>25</v>
      </c>
      <c r="M211" s="1" t="s">
        <v>55</v>
      </c>
    </row>
    <row r="212" spans="1:13" x14ac:dyDescent="0.3">
      <c r="A212" s="1" t="s">
        <v>325</v>
      </c>
      <c r="B212" s="2">
        <v>499</v>
      </c>
      <c r="C212" s="4">
        <v>135</v>
      </c>
      <c r="D212" s="5">
        <v>0.72</v>
      </c>
      <c r="E212" s="1" t="s">
        <v>22</v>
      </c>
      <c r="F212" s="1" t="s">
        <v>15</v>
      </c>
      <c r="G212" s="1" t="s">
        <v>141</v>
      </c>
      <c r="H212" s="1" t="s">
        <v>24</v>
      </c>
      <c r="I212" s="1" t="s">
        <v>18</v>
      </c>
      <c r="J212" s="1" t="s">
        <v>19</v>
      </c>
      <c r="K212" s="2">
        <v>1</v>
      </c>
      <c r="L212" s="1" t="s">
        <v>25</v>
      </c>
      <c r="M212" s="1" t="s">
        <v>326</v>
      </c>
    </row>
    <row r="213" spans="1:13" x14ac:dyDescent="0.3">
      <c r="A213" s="1" t="s">
        <v>327</v>
      </c>
      <c r="B213" s="2">
        <v>419</v>
      </c>
      <c r="C213" s="4">
        <v>124</v>
      </c>
      <c r="D213" s="5">
        <v>0.7</v>
      </c>
      <c r="E213" s="1" t="s">
        <v>22</v>
      </c>
      <c r="F213" s="1" t="s">
        <v>15</v>
      </c>
      <c r="G213" s="1" t="s">
        <v>28</v>
      </c>
      <c r="H213" s="1" t="s">
        <v>24</v>
      </c>
      <c r="I213" s="1" t="s">
        <v>539</v>
      </c>
      <c r="J213" s="1" t="s">
        <v>19</v>
      </c>
      <c r="K213" s="2">
        <v>3</v>
      </c>
      <c r="L213" s="1" t="s">
        <v>25</v>
      </c>
      <c r="M213" s="1" t="s">
        <v>41</v>
      </c>
    </row>
    <row r="214" spans="1:13" x14ac:dyDescent="0.3">
      <c r="A214" s="1" t="s">
        <v>328</v>
      </c>
      <c r="B214" s="2">
        <v>499</v>
      </c>
      <c r="C214" s="4">
        <v>127</v>
      </c>
      <c r="D214" s="5">
        <v>0.74</v>
      </c>
      <c r="E214" s="1" t="s">
        <v>22</v>
      </c>
      <c r="F214" s="1" t="s">
        <v>15</v>
      </c>
      <c r="G214" s="1" t="s">
        <v>23</v>
      </c>
      <c r="H214" s="1" t="s">
        <v>93</v>
      </c>
      <c r="I214" s="1" t="s">
        <v>539</v>
      </c>
      <c r="J214" s="1" t="s">
        <v>25</v>
      </c>
      <c r="K214" s="2">
        <v>1</v>
      </c>
      <c r="L214" s="1" t="s">
        <v>25</v>
      </c>
      <c r="M214" s="1" t="s">
        <v>26</v>
      </c>
    </row>
    <row r="215" spans="1:13" x14ac:dyDescent="0.3">
      <c r="A215" s="1" t="s">
        <v>329</v>
      </c>
      <c r="B215" s="2">
        <v>499</v>
      </c>
      <c r="C215" s="4">
        <v>132</v>
      </c>
      <c r="D215" s="5">
        <v>0.73</v>
      </c>
      <c r="E215" s="1" t="s">
        <v>14</v>
      </c>
      <c r="F215" s="1" t="s">
        <v>15</v>
      </c>
      <c r="G215" s="1" t="s">
        <v>28</v>
      </c>
      <c r="H215" s="1" t="s">
        <v>24</v>
      </c>
      <c r="I215" s="1" t="s">
        <v>539</v>
      </c>
      <c r="J215" s="1" t="s">
        <v>19</v>
      </c>
      <c r="K215" s="2">
        <v>1</v>
      </c>
      <c r="L215" s="1" t="s">
        <v>25</v>
      </c>
      <c r="M215" s="1" t="s">
        <v>41</v>
      </c>
    </row>
    <row r="216" spans="1:13" x14ac:dyDescent="0.3">
      <c r="A216" s="1" t="s">
        <v>330</v>
      </c>
      <c r="B216" s="2">
        <v>199</v>
      </c>
      <c r="C216" s="4">
        <v>127</v>
      </c>
      <c r="D216" s="5">
        <v>0.36</v>
      </c>
      <c r="E216" s="1" t="s">
        <v>22</v>
      </c>
      <c r="F216" s="1" t="s">
        <v>15</v>
      </c>
      <c r="G216" s="1" t="s">
        <v>28</v>
      </c>
      <c r="H216" s="1" t="s">
        <v>17</v>
      </c>
      <c r="I216" s="1" t="s">
        <v>539</v>
      </c>
      <c r="J216" s="1" t="s">
        <v>19</v>
      </c>
      <c r="K216" s="2">
        <v>1</v>
      </c>
      <c r="L216" s="1" t="s">
        <v>25</v>
      </c>
      <c r="M216" s="1" t="s">
        <v>39</v>
      </c>
    </row>
    <row r="217" spans="1:13" x14ac:dyDescent="0.3">
      <c r="A217" s="1" t="s">
        <v>331</v>
      </c>
      <c r="B217" s="2">
        <v>399</v>
      </c>
      <c r="C217" s="4">
        <v>140</v>
      </c>
      <c r="D217" s="5">
        <v>0.64</v>
      </c>
      <c r="E217" s="1" t="s">
        <v>14</v>
      </c>
      <c r="F217" s="1" t="s">
        <v>15</v>
      </c>
      <c r="G217" s="1" t="s">
        <v>28</v>
      </c>
      <c r="H217" s="1" t="s">
        <v>17</v>
      </c>
      <c r="I217" s="1" t="s">
        <v>539</v>
      </c>
      <c r="J217" s="1" t="s">
        <v>19</v>
      </c>
      <c r="K217" s="2">
        <v>1</v>
      </c>
      <c r="L217" s="1" t="s">
        <v>25</v>
      </c>
      <c r="M217" s="1" t="s">
        <v>332</v>
      </c>
    </row>
    <row r="218" spans="1:13" x14ac:dyDescent="0.3">
      <c r="A218" s="1" t="s">
        <v>333</v>
      </c>
      <c r="B218" s="2">
        <v>350</v>
      </c>
      <c r="C218" s="4">
        <v>120</v>
      </c>
      <c r="D218" s="5">
        <v>0.65</v>
      </c>
      <c r="E218" s="1" t="s">
        <v>22</v>
      </c>
      <c r="F218" s="1" t="s">
        <v>15</v>
      </c>
      <c r="G218" s="1" t="s">
        <v>64</v>
      </c>
      <c r="H218" s="1" t="s">
        <v>17</v>
      </c>
      <c r="I218" s="1" t="s">
        <v>539</v>
      </c>
      <c r="J218" s="1" t="s">
        <v>19</v>
      </c>
      <c r="K218" s="2">
        <v>1</v>
      </c>
      <c r="L218" s="1" t="s">
        <v>25</v>
      </c>
      <c r="M218" s="1" t="s">
        <v>26</v>
      </c>
    </row>
    <row r="219" spans="1:13" x14ac:dyDescent="0.3">
      <c r="A219" s="1" t="s">
        <v>161</v>
      </c>
      <c r="B219" s="2">
        <v>499</v>
      </c>
      <c r="C219" s="4">
        <v>122</v>
      </c>
      <c r="D219" s="5">
        <v>0.75</v>
      </c>
      <c r="E219" s="1" t="s">
        <v>22</v>
      </c>
      <c r="F219" s="1" t="s">
        <v>15</v>
      </c>
      <c r="G219" s="1" t="s">
        <v>28</v>
      </c>
      <c r="H219" s="1" t="s">
        <v>17</v>
      </c>
      <c r="I219" s="1" t="s">
        <v>539</v>
      </c>
      <c r="J219" s="1" t="s">
        <v>25</v>
      </c>
      <c r="K219" s="2">
        <v>1</v>
      </c>
      <c r="L219" s="1" t="s">
        <v>25</v>
      </c>
      <c r="M219" s="1" t="s">
        <v>39</v>
      </c>
    </row>
    <row r="220" spans="1:13" x14ac:dyDescent="0.3">
      <c r="A220" s="1" t="s">
        <v>334</v>
      </c>
      <c r="B220" s="2">
        <v>400</v>
      </c>
      <c r="C220" s="4">
        <v>153</v>
      </c>
      <c r="D220" s="5">
        <v>0.61</v>
      </c>
      <c r="E220" s="1" t="s">
        <v>22</v>
      </c>
      <c r="F220" s="1" t="s">
        <v>15</v>
      </c>
      <c r="G220" s="1" t="s">
        <v>49</v>
      </c>
      <c r="H220" s="1" t="s">
        <v>17</v>
      </c>
      <c r="I220" s="1" t="s">
        <v>539</v>
      </c>
      <c r="J220" s="1" t="s">
        <v>25</v>
      </c>
      <c r="K220" s="2">
        <v>0.2</v>
      </c>
      <c r="L220" s="1" t="s">
        <v>25</v>
      </c>
      <c r="M220" s="1" t="s">
        <v>44</v>
      </c>
    </row>
    <row r="221" spans="1:13" x14ac:dyDescent="0.3">
      <c r="A221" s="1" t="s">
        <v>335</v>
      </c>
      <c r="B221" s="2">
        <v>386</v>
      </c>
      <c r="C221" s="4">
        <v>125</v>
      </c>
      <c r="D221" s="5">
        <v>0.67</v>
      </c>
      <c r="E221" s="1" t="s">
        <v>22</v>
      </c>
      <c r="F221" s="1" t="s">
        <v>15</v>
      </c>
      <c r="G221" s="1" t="s">
        <v>23</v>
      </c>
      <c r="H221" s="1" t="s">
        <v>24</v>
      </c>
      <c r="I221" s="1" t="s">
        <v>539</v>
      </c>
      <c r="J221" s="1" t="s">
        <v>25</v>
      </c>
      <c r="K221" s="2">
        <v>1</v>
      </c>
      <c r="L221" s="1" t="s">
        <v>25</v>
      </c>
      <c r="M221" s="1" t="s">
        <v>336</v>
      </c>
    </row>
    <row r="222" spans="1:13" x14ac:dyDescent="0.3">
      <c r="A222" s="1" t="s">
        <v>337</v>
      </c>
      <c r="B222" s="2">
        <v>599</v>
      </c>
      <c r="C222" s="4">
        <v>130</v>
      </c>
      <c r="D222" s="5">
        <v>0.78</v>
      </c>
      <c r="E222" s="1" t="s">
        <v>22</v>
      </c>
      <c r="F222" s="1" t="s">
        <v>15</v>
      </c>
      <c r="G222" s="1" t="s">
        <v>28</v>
      </c>
      <c r="H222" s="1" t="s">
        <v>24</v>
      </c>
      <c r="I222" s="1" t="s">
        <v>539</v>
      </c>
      <c r="J222" s="1" t="s">
        <v>25</v>
      </c>
      <c r="K222" s="2">
        <v>1</v>
      </c>
      <c r="L222" s="1" t="s">
        <v>25</v>
      </c>
      <c r="M222" s="1" t="s">
        <v>26</v>
      </c>
    </row>
    <row r="223" spans="1:13" x14ac:dyDescent="0.3">
      <c r="A223" s="1" t="s">
        <v>338</v>
      </c>
      <c r="B223" s="2">
        <v>449</v>
      </c>
      <c r="C223" s="4">
        <v>249</v>
      </c>
      <c r="D223" s="5">
        <v>0.44</v>
      </c>
      <c r="E223" s="1" t="s">
        <v>22</v>
      </c>
      <c r="F223" s="1" t="s">
        <v>15</v>
      </c>
      <c r="G223" s="1" t="s">
        <v>105</v>
      </c>
      <c r="H223" s="1" t="s">
        <v>93</v>
      </c>
      <c r="I223" s="1" t="s">
        <v>18</v>
      </c>
      <c r="J223" s="1" t="s">
        <v>19</v>
      </c>
      <c r="K223" s="2">
        <v>1</v>
      </c>
      <c r="L223" s="1" t="s">
        <v>19</v>
      </c>
      <c r="M223" s="1" t="s">
        <v>53</v>
      </c>
    </row>
    <row r="224" spans="1:13" x14ac:dyDescent="0.3">
      <c r="A224" s="1" t="s">
        <v>339</v>
      </c>
      <c r="B224" s="2">
        <v>1500</v>
      </c>
      <c r="C224" s="4">
        <v>125</v>
      </c>
      <c r="D224" s="5">
        <v>0.91</v>
      </c>
      <c r="E224" s="1" t="s">
        <v>22</v>
      </c>
      <c r="F224" s="1" t="s">
        <v>15</v>
      </c>
      <c r="G224" s="1" t="s">
        <v>23</v>
      </c>
      <c r="H224" s="1" t="s">
        <v>17</v>
      </c>
      <c r="I224" s="1" t="s">
        <v>539</v>
      </c>
      <c r="J224" s="1" t="s">
        <v>25</v>
      </c>
      <c r="K224" s="2">
        <v>1</v>
      </c>
      <c r="L224" s="1" t="s">
        <v>25</v>
      </c>
      <c r="M224" s="1" t="s">
        <v>340</v>
      </c>
    </row>
    <row r="225" spans="1:13" x14ac:dyDescent="0.3">
      <c r="A225" s="1" t="s">
        <v>341</v>
      </c>
      <c r="B225" s="2">
        <v>489</v>
      </c>
      <c r="C225" s="4">
        <v>128</v>
      </c>
      <c r="D225" s="5">
        <v>0.73</v>
      </c>
      <c r="E225" s="1" t="s">
        <v>14</v>
      </c>
      <c r="F225" s="1" t="s">
        <v>15</v>
      </c>
      <c r="G225" s="1" t="s">
        <v>28</v>
      </c>
      <c r="H225" s="1" t="s">
        <v>24</v>
      </c>
      <c r="I225" s="1" t="s">
        <v>539</v>
      </c>
      <c r="J225" s="1" t="s">
        <v>25</v>
      </c>
      <c r="K225" s="2">
        <v>1</v>
      </c>
      <c r="L225" s="1" t="s">
        <v>25</v>
      </c>
      <c r="M225" s="1" t="s">
        <v>103</v>
      </c>
    </row>
    <row r="226" spans="1:13" x14ac:dyDescent="0.3">
      <c r="A226" s="1" t="s">
        <v>342</v>
      </c>
      <c r="B226" s="2">
        <v>399</v>
      </c>
      <c r="C226" s="4">
        <v>147</v>
      </c>
      <c r="D226" s="5">
        <v>0.63</v>
      </c>
      <c r="E226" s="1" t="s">
        <v>22</v>
      </c>
      <c r="F226" s="1" t="s">
        <v>15</v>
      </c>
      <c r="G226" s="1" t="s">
        <v>52</v>
      </c>
      <c r="H226" s="1" t="s">
        <v>17</v>
      </c>
      <c r="I226" s="1" t="s">
        <v>539</v>
      </c>
      <c r="J226" s="1" t="s">
        <v>19</v>
      </c>
      <c r="K226" s="2">
        <v>1</v>
      </c>
      <c r="L226" s="1" t="s">
        <v>25</v>
      </c>
      <c r="M226" s="1" t="s">
        <v>41</v>
      </c>
    </row>
    <row r="227" spans="1:13" x14ac:dyDescent="0.3">
      <c r="A227" s="1" t="s">
        <v>343</v>
      </c>
      <c r="B227" s="2">
        <v>349</v>
      </c>
      <c r="C227" s="4">
        <v>219</v>
      </c>
      <c r="D227" s="5">
        <v>0.37</v>
      </c>
      <c r="E227" s="1" t="s">
        <v>22</v>
      </c>
      <c r="F227" s="1" t="s">
        <v>15</v>
      </c>
      <c r="G227" s="1" t="s">
        <v>105</v>
      </c>
      <c r="H227" s="1" t="s">
        <v>24</v>
      </c>
      <c r="I227" s="1" t="s">
        <v>18</v>
      </c>
      <c r="J227" s="1" t="s">
        <v>19</v>
      </c>
      <c r="K227" s="2">
        <v>1</v>
      </c>
      <c r="L227" s="1" t="s">
        <v>19</v>
      </c>
      <c r="M227" s="1" t="s">
        <v>53</v>
      </c>
    </row>
    <row r="228" spans="1:13" x14ac:dyDescent="0.3">
      <c r="A228" s="1" t="s">
        <v>344</v>
      </c>
      <c r="B228" s="2">
        <v>599</v>
      </c>
      <c r="C228" s="4">
        <v>125</v>
      </c>
      <c r="D228" s="5">
        <v>0.79</v>
      </c>
      <c r="E228" s="1" t="s">
        <v>22</v>
      </c>
      <c r="F228" s="1" t="s">
        <v>15</v>
      </c>
      <c r="G228" s="1" t="s">
        <v>16</v>
      </c>
      <c r="H228" s="1" t="s">
        <v>17</v>
      </c>
      <c r="I228" s="1" t="s">
        <v>539</v>
      </c>
      <c r="J228" s="1" t="s">
        <v>19</v>
      </c>
      <c r="K228" s="2">
        <v>1</v>
      </c>
      <c r="L228" s="1" t="s">
        <v>25</v>
      </c>
      <c r="M228" s="1" t="s">
        <v>345</v>
      </c>
    </row>
    <row r="229" spans="1:13" x14ac:dyDescent="0.3">
      <c r="A229" s="1" t="s">
        <v>346</v>
      </c>
      <c r="B229" s="2">
        <v>699</v>
      </c>
      <c r="C229" s="4">
        <v>118</v>
      </c>
      <c r="D229" s="5">
        <v>0.83</v>
      </c>
      <c r="E229" s="1" t="s">
        <v>22</v>
      </c>
      <c r="F229" s="1" t="s">
        <v>15</v>
      </c>
      <c r="G229" s="1" t="s">
        <v>28</v>
      </c>
      <c r="H229" s="1" t="s">
        <v>17</v>
      </c>
      <c r="I229" s="1" t="s">
        <v>539</v>
      </c>
      <c r="J229" s="1" t="s">
        <v>19</v>
      </c>
      <c r="K229" s="2">
        <v>1</v>
      </c>
      <c r="L229" s="1" t="s">
        <v>25</v>
      </c>
      <c r="M229" s="1" t="s">
        <v>191</v>
      </c>
    </row>
    <row r="230" spans="1:13" x14ac:dyDescent="0.3">
      <c r="A230" s="1" t="s">
        <v>347</v>
      </c>
      <c r="B230" s="2">
        <v>442</v>
      </c>
      <c r="C230" s="4">
        <v>127</v>
      </c>
      <c r="D230" s="5">
        <v>0.71</v>
      </c>
      <c r="E230" s="1" t="s">
        <v>14</v>
      </c>
      <c r="F230" s="1" t="s">
        <v>15</v>
      </c>
      <c r="G230" s="1" t="s">
        <v>23</v>
      </c>
      <c r="H230" s="1" t="s">
        <v>17</v>
      </c>
      <c r="I230" s="1" t="s">
        <v>539</v>
      </c>
      <c r="J230" s="1" t="s">
        <v>25</v>
      </c>
      <c r="K230" s="2">
        <v>1</v>
      </c>
      <c r="L230" s="1" t="s">
        <v>25</v>
      </c>
      <c r="M230" s="1" t="s">
        <v>26</v>
      </c>
    </row>
    <row r="231" spans="1:13" x14ac:dyDescent="0.3">
      <c r="A231" s="1" t="s">
        <v>348</v>
      </c>
      <c r="B231" s="2">
        <v>499</v>
      </c>
      <c r="C231" s="4">
        <v>135</v>
      </c>
      <c r="D231" s="5">
        <v>0.72</v>
      </c>
      <c r="E231" s="1" t="s">
        <v>22</v>
      </c>
      <c r="F231" s="1" t="s">
        <v>15</v>
      </c>
      <c r="G231" s="1" t="s">
        <v>105</v>
      </c>
      <c r="H231" s="1" t="s">
        <v>24</v>
      </c>
      <c r="I231" s="1" t="s">
        <v>18</v>
      </c>
      <c r="J231" s="1" t="s">
        <v>19</v>
      </c>
      <c r="K231" s="2">
        <v>1</v>
      </c>
      <c r="L231" s="1" t="s">
        <v>19</v>
      </c>
      <c r="M231" s="1" t="s">
        <v>39</v>
      </c>
    </row>
    <row r="232" spans="1:13" x14ac:dyDescent="0.3">
      <c r="A232" s="1" t="s">
        <v>349</v>
      </c>
      <c r="B232" s="2">
        <v>499</v>
      </c>
      <c r="C232" s="4">
        <v>126</v>
      </c>
      <c r="D232" s="5">
        <v>0.74</v>
      </c>
      <c r="E232" s="1" t="s">
        <v>22</v>
      </c>
      <c r="F232" s="1" t="s">
        <v>15</v>
      </c>
      <c r="G232" s="1" t="s">
        <v>23</v>
      </c>
      <c r="H232" s="1" t="s">
        <v>17</v>
      </c>
      <c r="I232" s="1" t="s">
        <v>539</v>
      </c>
      <c r="J232" s="1" t="s">
        <v>25</v>
      </c>
      <c r="K232" s="2">
        <v>0.5</v>
      </c>
      <c r="L232" s="1" t="s">
        <v>25</v>
      </c>
      <c r="M232" s="1" t="s">
        <v>171</v>
      </c>
    </row>
    <row r="233" spans="1:13" x14ac:dyDescent="0.3">
      <c r="A233" s="1" t="s">
        <v>350</v>
      </c>
      <c r="B233" s="2">
        <v>499</v>
      </c>
      <c r="C233" s="4">
        <v>125</v>
      </c>
      <c r="D233" s="5">
        <v>0.74</v>
      </c>
      <c r="E233" s="1" t="s">
        <v>22</v>
      </c>
      <c r="F233" s="1" t="s">
        <v>15</v>
      </c>
      <c r="G233" s="1" t="s">
        <v>36</v>
      </c>
      <c r="H233" s="1" t="s">
        <v>24</v>
      </c>
      <c r="I233" s="1" t="s">
        <v>539</v>
      </c>
      <c r="J233" s="1" t="s">
        <v>19</v>
      </c>
      <c r="K233" s="2">
        <v>0.6</v>
      </c>
      <c r="L233" s="1" t="s">
        <v>25</v>
      </c>
      <c r="M233" s="1" t="s">
        <v>351</v>
      </c>
    </row>
    <row r="234" spans="1:13" x14ac:dyDescent="0.3">
      <c r="A234" s="1" t="s">
        <v>352</v>
      </c>
      <c r="B234" s="2">
        <v>499</v>
      </c>
      <c r="C234" s="4">
        <v>122</v>
      </c>
      <c r="D234" s="5">
        <v>0.75</v>
      </c>
      <c r="E234" s="1" t="s">
        <v>22</v>
      </c>
      <c r="F234" s="1" t="s">
        <v>15</v>
      </c>
      <c r="G234" s="1" t="s">
        <v>36</v>
      </c>
      <c r="H234" s="1" t="s">
        <v>17</v>
      </c>
      <c r="I234" s="1" t="s">
        <v>539</v>
      </c>
      <c r="J234" s="1" t="s">
        <v>25</v>
      </c>
      <c r="K234" s="2">
        <v>1</v>
      </c>
      <c r="L234" s="1" t="s">
        <v>25</v>
      </c>
      <c r="M234" s="1" t="s">
        <v>96</v>
      </c>
    </row>
    <row r="235" spans="1:13" x14ac:dyDescent="0.3">
      <c r="A235" s="1" t="s">
        <v>353</v>
      </c>
      <c r="B235" s="2">
        <v>890</v>
      </c>
      <c r="C235" s="4">
        <v>144</v>
      </c>
      <c r="D235" s="5">
        <v>0.83</v>
      </c>
      <c r="E235" s="1" t="s">
        <v>14</v>
      </c>
      <c r="F235" s="1" t="s">
        <v>15</v>
      </c>
      <c r="G235" s="1" t="s">
        <v>49</v>
      </c>
      <c r="H235" s="1" t="s">
        <v>24</v>
      </c>
      <c r="I235" s="1" t="s">
        <v>539</v>
      </c>
      <c r="J235" s="1" t="s">
        <v>25</v>
      </c>
      <c r="K235" s="2">
        <v>1</v>
      </c>
      <c r="L235" s="1" t="s">
        <v>25</v>
      </c>
      <c r="M235" s="1" t="s">
        <v>354</v>
      </c>
    </row>
    <row r="236" spans="1:13" x14ac:dyDescent="0.3">
      <c r="A236" s="1" t="s">
        <v>355</v>
      </c>
      <c r="B236" s="2">
        <v>499</v>
      </c>
      <c r="C236" s="4">
        <v>135</v>
      </c>
      <c r="D236" s="5">
        <v>0.72</v>
      </c>
      <c r="E236" s="1" t="s">
        <v>14</v>
      </c>
      <c r="F236" s="1" t="s">
        <v>15</v>
      </c>
      <c r="G236" s="1" t="s">
        <v>28</v>
      </c>
      <c r="H236" s="1" t="s">
        <v>17</v>
      </c>
      <c r="I236" s="1" t="s">
        <v>539</v>
      </c>
      <c r="J236" s="1" t="s">
        <v>19</v>
      </c>
      <c r="K236" s="2">
        <v>1</v>
      </c>
      <c r="L236" s="1" t="s">
        <v>25</v>
      </c>
      <c r="M236" s="1" t="s">
        <v>55</v>
      </c>
    </row>
    <row r="237" spans="1:13" x14ac:dyDescent="0.3">
      <c r="A237" s="1" t="s">
        <v>356</v>
      </c>
      <c r="B237" s="2">
        <v>399</v>
      </c>
      <c r="C237" s="4">
        <v>122</v>
      </c>
      <c r="D237" s="5">
        <v>0.69</v>
      </c>
      <c r="E237" s="1" t="s">
        <v>14</v>
      </c>
      <c r="F237" s="1" t="s">
        <v>15</v>
      </c>
      <c r="G237" s="1" t="s">
        <v>28</v>
      </c>
      <c r="H237" s="1" t="s">
        <v>17</v>
      </c>
      <c r="I237" s="1" t="s">
        <v>539</v>
      </c>
      <c r="J237" s="1" t="s">
        <v>19</v>
      </c>
      <c r="K237" s="2">
        <v>1</v>
      </c>
      <c r="L237" s="1" t="s">
        <v>25</v>
      </c>
      <c r="M237" s="1" t="s">
        <v>357</v>
      </c>
    </row>
    <row r="238" spans="1:13" x14ac:dyDescent="0.3">
      <c r="A238" s="1" t="s">
        <v>358</v>
      </c>
      <c r="B238" s="2">
        <v>190</v>
      </c>
      <c r="C238" s="4">
        <v>135</v>
      </c>
      <c r="D238" s="5">
        <v>0.28000000000000003</v>
      </c>
      <c r="E238" s="1" t="s">
        <v>14</v>
      </c>
      <c r="F238" s="1" t="s">
        <v>15</v>
      </c>
      <c r="G238" s="1" t="s">
        <v>28</v>
      </c>
      <c r="H238" s="1" t="s">
        <v>24</v>
      </c>
      <c r="I238" s="1" t="s">
        <v>539</v>
      </c>
      <c r="J238" s="1" t="s">
        <v>19</v>
      </c>
      <c r="K238" s="2">
        <v>1</v>
      </c>
      <c r="L238" s="1" t="s">
        <v>25</v>
      </c>
      <c r="M238" s="1" t="s">
        <v>359</v>
      </c>
    </row>
    <row r="239" spans="1:13" x14ac:dyDescent="0.3">
      <c r="A239" s="1" t="s">
        <v>360</v>
      </c>
      <c r="B239" s="2">
        <v>1599</v>
      </c>
      <c r="C239" s="4">
        <v>749</v>
      </c>
      <c r="D239" s="5">
        <v>0.53</v>
      </c>
      <c r="E239" s="1" t="s">
        <v>22</v>
      </c>
      <c r="F239" s="1" t="s">
        <v>15</v>
      </c>
      <c r="G239" s="1" t="s">
        <v>52</v>
      </c>
      <c r="H239" s="1" t="s">
        <v>24</v>
      </c>
      <c r="I239" s="1" t="s">
        <v>18</v>
      </c>
      <c r="J239" s="1" t="s">
        <v>19</v>
      </c>
      <c r="K239" s="2">
        <v>2</v>
      </c>
      <c r="L239" s="1" t="s">
        <v>19</v>
      </c>
      <c r="M239" s="1" t="s">
        <v>361</v>
      </c>
    </row>
    <row r="240" spans="1:13" x14ac:dyDescent="0.3">
      <c r="A240" s="1" t="s">
        <v>362</v>
      </c>
      <c r="B240" s="2">
        <v>1033</v>
      </c>
      <c r="C240" s="4">
        <v>139</v>
      </c>
      <c r="D240" s="5">
        <v>0.86</v>
      </c>
      <c r="E240" s="1" t="s">
        <v>22</v>
      </c>
      <c r="F240" s="1" t="s">
        <v>15</v>
      </c>
      <c r="G240" s="1" t="s">
        <v>36</v>
      </c>
      <c r="H240" s="1" t="s">
        <v>24</v>
      </c>
      <c r="I240" s="1" t="s">
        <v>539</v>
      </c>
      <c r="J240" s="1" t="s">
        <v>25</v>
      </c>
      <c r="K240" s="2">
        <v>1</v>
      </c>
      <c r="L240" s="1" t="s">
        <v>19</v>
      </c>
      <c r="M240" s="1" t="s">
        <v>363</v>
      </c>
    </row>
    <row r="241" spans="1:13" x14ac:dyDescent="0.3">
      <c r="A241" s="1" t="s">
        <v>99</v>
      </c>
      <c r="B241" s="2">
        <v>599</v>
      </c>
      <c r="C241" s="4">
        <v>127</v>
      </c>
      <c r="D241" s="5">
        <v>0.78</v>
      </c>
      <c r="E241" s="1" t="s">
        <v>22</v>
      </c>
      <c r="F241" s="1" t="s">
        <v>15</v>
      </c>
      <c r="G241" s="1" t="s">
        <v>23</v>
      </c>
      <c r="H241" s="1" t="s">
        <v>24</v>
      </c>
      <c r="I241" s="1" t="s">
        <v>539</v>
      </c>
      <c r="J241" s="1" t="s">
        <v>25</v>
      </c>
      <c r="K241" s="2">
        <v>1</v>
      </c>
      <c r="L241" s="1" t="s">
        <v>25</v>
      </c>
      <c r="M241" s="1" t="s">
        <v>26</v>
      </c>
    </row>
    <row r="242" spans="1:13" x14ac:dyDescent="0.3">
      <c r="A242" s="1" t="s">
        <v>205</v>
      </c>
      <c r="B242" s="2">
        <v>699</v>
      </c>
      <c r="C242" s="4">
        <v>199</v>
      </c>
      <c r="D242" s="5">
        <v>0.71</v>
      </c>
      <c r="E242" s="1" t="s">
        <v>14</v>
      </c>
      <c r="F242" s="1" t="s">
        <v>15</v>
      </c>
      <c r="G242" s="1" t="s">
        <v>49</v>
      </c>
      <c r="H242" s="1" t="s">
        <v>17</v>
      </c>
      <c r="I242" s="1" t="s">
        <v>539</v>
      </c>
      <c r="J242" s="1" t="s">
        <v>25</v>
      </c>
      <c r="K242" s="2">
        <v>10</v>
      </c>
      <c r="L242" s="1" t="s">
        <v>25</v>
      </c>
      <c r="M242" s="1" t="s">
        <v>80</v>
      </c>
    </row>
    <row r="243" spans="1:13" x14ac:dyDescent="0.3">
      <c r="A243" s="1" t="s">
        <v>364</v>
      </c>
      <c r="B243" s="2">
        <v>349</v>
      </c>
      <c r="C243" s="4">
        <v>122</v>
      </c>
      <c r="D243" s="5">
        <v>0.65</v>
      </c>
      <c r="E243" s="1" t="s">
        <v>14</v>
      </c>
      <c r="F243" s="1" t="s">
        <v>15</v>
      </c>
      <c r="G243" s="1" t="s">
        <v>23</v>
      </c>
      <c r="H243" s="1" t="s">
        <v>24</v>
      </c>
      <c r="I243" s="1" t="s">
        <v>539</v>
      </c>
      <c r="J243" s="1" t="s">
        <v>25</v>
      </c>
      <c r="K243" s="2">
        <v>1</v>
      </c>
      <c r="L243" s="1" t="s">
        <v>25</v>
      </c>
      <c r="M243" s="1" t="s">
        <v>365</v>
      </c>
    </row>
    <row r="244" spans="1:13" x14ac:dyDescent="0.3">
      <c r="A244" s="1" t="s">
        <v>366</v>
      </c>
      <c r="B244" s="2">
        <v>399</v>
      </c>
      <c r="C244" s="4">
        <v>157</v>
      </c>
      <c r="D244" s="5">
        <v>0.6</v>
      </c>
      <c r="E244" s="1" t="s">
        <v>14</v>
      </c>
      <c r="F244" s="1" t="s">
        <v>15</v>
      </c>
      <c r="G244" s="1" t="s">
        <v>28</v>
      </c>
      <c r="H244" s="1" t="s">
        <v>17</v>
      </c>
      <c r="I244" s="1" t="s">
        <v>539</v>
      </c>
      <c r="J244" s="1" t="s">
        <v>25</v>
      </c>
      <c r="K244" s="2">
        <v>1</v>
      </c>
      <c r="L244" s="1" t="s">
        <v>25</v>
      </c>
      <c r="M244" s="1" t="s">
        <v>33</v>
      </c>
    </row>
    <row r="245" spans="1:13" x14ac:dyDescent="0.3">
      <c r="A245" s="1" t="s">
        <v>367</v>
      </c>
      <c r="B245" s="2">
        <v>599</v>
      </c>
      <c r="C245" s="4">
        <v>113</v>
      </c>
      <c r="D245" s="5">
        <v>0.81</v>
      </c>
      <c r="E245" s="1" t="s">
        <v>14</v>
      </c>
      <c r="F245" s="1" t="s">
        <v>15</v>
      </c>
      <c r="G245" s="1" t="s">
        <v>105</v>
      </c>
      <c r="H245" s="1" t="s">
        <v>17</v>
      </c>
      <c r="I245" s="1" t="s">
        <v>539</v>
      </c>
      <c r="J245" s="1" t="s">
        <v>25</v>
      </c>
      <c r="K245" s="2">
        <v>1</v>
      </c>
      <c r="L245" s="1" t="s">
        <v>19</v>
      </c>
      <c r="M245" s="1" t="s">
        <v>345</v>
      </c>
    </row>
    <row r="246" spans="1:13" x14ac:dyDescent="0.3">
      <c r="A246" s="1" t="s">
        <v>337</v>
      </c>
      <c r="B246" s="2">
        <v>599</v>
      </c>
      <c r="C246" s="4">
        <v>125</v>
      </c>
      <c r="D246" s="5">
        <v>0.79</v>
      </c>
      <c r="E246" s="1" t="s">
        <v>22</v>
      </c>
      <c r="F246" s="1" t="s">
        <v>15</v>
      </c>
      <c r="G246" s="1" t="s">
        <v>105</v>
      </c>
      <c r="H246" s="1" t="s">
        <v>24</v>
      </c>
      <c r="I246" s="1" t="s">
        <v>539</v>
      </c>
      <c r="J246" s="1" t="s">
        <v>25</v>
      </c>
      <c r="K246" s="2">
        <v>1</v>
      </c>
      <c r="L246" s="1" t="s">
        <v>25</v>
      </c>
      <c r="M246" s="1" t="s">
        <v>26</v>
      </c>
    </row>
    <row r="247" spans="1:13" x14ac:dyDescent="0.3">
      <c r="A247" s="1" t="s">
        <v>338</v>
      </c>
      <c r="B247" s="2">
        <v>349</v>
      </c>
      <c r="C247" s="4">
        <v>189</v>
      </c>
      <c r="D247" s="5">
        <v>0.45</v>
      </c>
      <c r="E247" s="1" t="s">
        <v>22</v>
      </c>
      <c r="F247" s="1" t="s">
        <v>15</v>
      </c>
      <c r="G247" s="1" t="s">
        <v>105</v>
      </c>
      <c r="H247" s="1" t="s">
        <v>24</v>
      </c>
      <c r="I247" s="1" t="s">
        <v>18</v>
      </c>
      <c r="J247" s="1" t="s">
        <v>19</v>
      </c>
      <c r="K247" s="2">
        <v>1</v>
      </c>
      <c r="L247" s="1" t="s">
        <v>19</v>
      </c>
      <c r="M247" s="1" t="s">
        <v>53</v>
      </c>
    </row>
    <row r="248" spans="1:13" x14ac:dyDescent="0.3">
      <c r="A248" s="1" t="s">
        <v>368</v>
      </c>
      <c r="B248" s="2">
        <v>599</v>
      </c>
      <c r="C248" s="4">
        <v>169</v>
      </c>
      <c r="D248" s="5">
        <v>0.71</v>
      </c>
      <c r="E248" s="1" t="s">
        <v>14</v>
      </c>
      <c r="F248" s="1" t="s">
        <v>15</v>
      </c>
      <c r="G248" s="1" t="s">
        <v>141</v>
      </c>
      <c r="H248" s="1" t="s">
        <v>17</v>
      </c>
      <c r="I248" s="1" t="s">
        <v>539</v>
      </c>
      <c r="J248" s="1" t="s">
        <v>19</v>
      </c>
      <c r="K248" s="2">
        <v>1</v>
      </c>
      <c r="L248" s="1" t="s">
        <v>25</v>
      </c>
      <c r="M248" s="1" t="s">
        <v>369</v>
      </c>
    </row>
    <row r="249" spans="1:13" x14ac:dyDescent="0.3">
      <c r="A249" s="1" t="s">
        <v>370</v>
      </c>
      <c r="B249" s="2">
        <v>299</v>
      </c>
      <c r="C249" s="4">
        <v>185</v>
      </c>
      <c r="D249" s="5">
        <v>0.38</v>
      </c>
      <c r="E249" s="1" t="s">
        <v>14</v>
      </c>
      <c r="F249" s="1" t="s">
        <v>15</v>
      </c>
      <c r="G249" s="1" t="s">
        <v>36</v>
      </c>
      <c r="H249" s="1" t="s">
        <v>93</v>
      </c>
      <c r="I249" s="1" t="s">
        <v>539</v>
      </c>
      <c r="J249" s="1" t="s">
        <v>19</v>
      </c>
      <c r="K249" s="2">
        <v>0.5</v>
      </c>
      <c r="L249" s="1" t="s">
        <v>19</v>
      </c>
      <c r="M249" s="1" t="s">
        <v>94</v>
      </c>
    </row>
    <row r="250" spans="1:13" x14ac:dyDescent="0.3">
      <c r="A250" s="1" t="s">
        <v>371</v>
      </c>
      <c r="B250" s="2">
        <v>489</v>
      </c>
      <c r="C250" s="4">
        <v>189</v>
      </c>
      <c r="D250" s="5">
        <v>0.61</v>
      </c>
      <c r="E250" s="1" t="s">
        <v>22</v>
      </c>
      <c r="F250" s="1" t="s">
        <v>15</v>
      </c>
      <c r="G250" s="1" t="s">
        <v>28</v>
      </c>
      <c r="H250" s="1" t="s">
        <v>17</v>
      </c>
      <c r="I250" s="1" t="s">
        <v>539</v>
      </c>
      <c r="J250" s="1" t="s">
        <v>19</v>
      </c>
      <c r="K250" s="2">
        <v>1</v>
      </c>
      <c r="L250" s="1" t="s">
        <v>25</v>
      </c>
      <c r="M250" s="1" t="s">
        <v>44</v>
      </c>
    </row>
    <row r="251" spans="1:13" x14ac:dyDescent="0.3">
      <c r="A251" s="1" t="s">
        <v>372</v>
      </c>
      <c r="B251" s="2">
        <v>299</v>
      </c>
      <c r="C251" s="4">
        <v>115</v>
      </c>
      <c r="D251" s="5">
        <v>0.61</v>
      </c>
      <c r="E251" s="1" t="s">
        <v>22</v>
      </c>
      <c r="F251" s="1" t="s">
        <v>15</v>
      </c>
      <c r="G251" s="1" t="s">
        <v>23</v>
      </c>
      <c r="H251" s="1" t="s">
        <v>24</v>
      </c>
      <c r="I251" s="1" t="s">
        <v>539</v>
      </c>
      <c r="J251" s="1" t="s">
        <v>25</v>
      </c>
      <c r="K251" s="2">
        <v>1</v>
      </c>
      <c r="L251" s="1" t="s">
        <v>25</v>
      </c>
      <c r="M251" s="1" t="s">
        <v>373</v>
      </c>
    </row>
    <row r="252" spans="1:13" x14ac:dyDescent="0.3">
      <c r="A252" s="1" t="s">
        <v>374</v>
      </c>
      <c r="B252" s="2">
        <v>499</v>
      </c>
      <c r="C252" s="4">
        <v>134</v>
      </c>
      <c r="D252" s="5">
        <v>0.73</v>
      </c>
      <c r="E252" s="1" t="s">
        <v>14</v>
      </c>
      <c r="F252" s="1" t="s">
        <v>15</v>
      </c>
      <c r="G252" s="1" t="s">
        <v>28</v>
      </c>
      <c r="H252" s="1" t="s">
        <v>17</v>
      </c>
      <c r="I252" s="1" t="s">
        <v>539</v>
      </c>
      <c r="J252" s="1" t="s">
        <v>19</v>
      </c>
      <c r="K252" s="2">
        <v>1</v>
      </c>
      <c r="L252" s="1" t="s">
        <v>25</v>
      </c>
      <c r="M252" s="1" t="s">
        <v>369</v>
      </c>
    </row>
    <row r="253" spans="1:13" x14ac:dyDescent="0.3">
      <c r="A253" s="1" t="s">
        <v>375</v>
      </c>
      <c r="B253" s="2">
        <v>200</v>
      </c>
      <c r="C253" s="4">
        <v>149</v>
      </c>
      <c r="D253" s="5">
        <v>0.25</v>
      </c>
      <c r="E253" s="1" t="s">
        <v>22</v>
      </c>
      <c r="F253" s="1" t="s">
        <v>15</v>
      </c>
      <c r="G253" s="1" t="s">
        <v>23</v>
      </c>
      <c r="H253" s="1" t="s">
        <v>17</v>
      </c>
      <c r="I253" s="1" t="s">
        <v>539</v>
      </c>
      <c r="J253" s="1" t="s">
        <v>25</v>
      </c>
      <c r="K253" s="2">
        <v>1</v>
      </c>
      <c r="L253" s="1" t="s">
        <v>25</v>
      </c>
      <c r="M253" s="1" t="s">
        <v>308</v>
      </c>
    </row>
    <row r="254" spans="1:13" x14ac:dyDescent="0.3">
      <c r="A254" s="1" t="s">
        <v>376</v>
      </c>
      <c r="B254" s="2">
        <v>789</v>
      </c>
      <c r="C254" s="4">
        <v>270</v>
      </c>
      <c r="D254" s="5">
        <v>0.65</v>
      </c>
      <c r="E254" s="1" t="s">
        <v>22</v>
      </c>
      <c r="F254" s="1" t="s">
        <v>15</v>
      </c>
      <c r="G254" s="1" t="s">
        <v>28</v>
      </c>
      <c r="H254" s="1" t="s">
        <v>17</v>
      </c>
      <c r="I254" s="1" t="s">
        <v>539</v>
      </c>
      <c r="J254" s="1" t="s">
        <v>19</v>
      </c>
      <c r="K254" s="2">
        <v>1</v>
      </c>
      <c r="L254" s="1" t="s">
        <v>25</v>
      </c>
      <c r="M254" s="1" t="s">
        <v>44</v>
      </c>
    </row>
    <row r="255" spans="1:13" x14ac:dyDescent="0.3">
      <c r="A255" s="1" t="s">
        <v>377</v>
      </c>
      <c r="B255" s="2">
        <v>499</v>
      </c>
      <c r="C255" s="4">
        <v>125</v>
      </c>
      <c r="D255" s="5">
        <v>0.74</v>
      </c>
      <c r="E255" s="1" t="s">
        <v>14</v>
      </c>
      <c r="F255" s="1" t="s">
        <v>15</v>
      </c>
      <c r="G255" s="1" t="s">
        <v>28</v>
      </c>
      <c r="H255" s="1" t="s">
        <v>17</v>
      </c>
      <c r="I255" s="1" t="s">
        <v>539</v>
      </c>
      <c r="J255" s="1" t="s">
        <v>25</v>
      </c>
      <c r="K255" s="2">
        <v>0.2</v>
      </c>
      <c r="L255" s="1" t="s">
        <v>25</v>
      </c>
      <c r="M255" s="1" t="s">
        <v>378</v>
      </c>
    </row>
    <row r="256" spans="1:13" x14ac:dyDescent="0.3">
      <c r="A256" s="1" t="s">
        <v>379</v>
      </c>
      <c r="B256" s="2">
        <v>1000</v>
      </c>
      <c r="C256" s="4">
        <v>143</v>
      </c>
      <c r="D256" s="5">
        <v>0.85</v>
      </c>
      <c r="E256" s="1" t="s">
        <v>22</v>
      </c>
      <c r="F256" s="1" t="s">
        <v>15</v>
      </c>
      <c r="G256" s="1" t="s">
        <v>36</v>
      </c>
      <c r="H256" s="1" t="s">
        <v>17</v>
      </c>
      <c r="I256" s="1" t="s">
        <v>539</v>
      </c>
      <c r="J256" s="1" t="s">
        <v>25</v>
      </c>
      <c r="K256" s="2">
        <v>1</v>
      </c>
      <c r="L256" s="1" t="s">
        <v>25</v>
      </c>
      <c r="M256" s="1" t="s">
        <v>363</v>
      </c>
    </row>
    <row r="257" spans="1:13" x14ac:dyDescent="0.3">
      <c r="A257" s="1" t="s">
        <v>380</v>
      </c>
      <c r="B257" s="2">
        <v>499</v>
      </c>
      <c r="C257" s="4">
        <v>159</v>
      </c>
      <c r="D257" s="5">
        <v>0.68</v>
      </c>
      <c r="E257" s="1" t="s">
        <v>22</v>
      </c>
      <c r="F257" s="1" t="s">
        <v>15</v>
      </c>
      <c r="G257" s="1" t="s">
        <v>23</v>
      </c>
      <c r="H257" s="1" t="s">
        <v>24</v>
      </c>
      <c r="I257" s="1" t="s">
        <v>539</v>
      </c>
      <c r="J257" s="1" t="s">
        <v>25</v>
      </c>
      <c r="K257" s="2">
        <v>1</v>
      </c>
      <c r="L257" s="1" t="s">
        <v>25</v>
      </c>
      <c r="M257" s="1" t="s">
        <v>238</v>
      </c>
    </row>
    <row r="258" spans="1:13" x14ac:dyDescent="0.3">
      <c r="A258" s="1" t="s">
        <v>381</v>
      </c>
      <c r="B258" s="2">
        <v>999</v>
      </c>
      <c r="C258" s="4">
        <v>299</v>
      </c>
      <c r="D258" s="5">
        <v>0.7</v>
      </c>
      <c r="E258" s="1" t="s">
        <v>14</v>
      </c>
      <c r="F258" s="1" t="s">
        <v>15</v>
      </c>
      <c r="G258" s="1" t="s">
        <v>52</v>
      </c>
      <c r="H258" s="1" t="s">
        <v>17</v>
      </c>
      <c r="I258" s="1" t="s">
        <v>18</v>
      </c>
      <c r="J258" s="1" t="s">
        <v>25</v>
      </c>
      <c r="K258" s="2">
        <v>10</v>
      </c>
      <c r="L258" s="1" t="s">
        <v>25</v>
      </c>
      <c r="M258" s="1" t="s">
        <v>80</v>
      </c>
    </row>
    <row r="259" spans="1:13" x14ac:dyDescent="0.3">
      <c r="A259" s="1" t="s">
        <v>382</v>
      </c>
      <c r="B259" s="2">
        <v>200</v>
      </c>
      <c r="C259" s="4">
        <v>135</v>
      </c>
      <c r="D259" s="5">
        <v>0.32</v>
      </c>
      <c r="E259" s="1" t="s">
        <v>22</v>
      </c>
      <c r="F259" s="1" t="s">
        <v>15</v>
      </c>
      <c r="G259" s="1" t="s">
        <v>52</v>
      </c>
      <c r="H259" s="1" t="s">
        <v>17</v>
      </c>
      <c r="I259" s="1" t="s">
        <v>539</v>
      </c>
      <c r="J259" s="1" t="s">
        <v>25</v>
      </c>
      <c r="K259" s="2">
        <v>0.6</v>
      </c>
      <c r="L259" s="1" t="s">
        <v>25</v>
      </c>
      <c r="M259" s="1" t="s">
        <v>258</v>
      </c>
    </row>
    <row r="260" spans="1:13" x14ac:dyDescent="0.3">
      <c r="A260" s="1" t="s">
        <v>383</v>
      </c>
      <c r="B260" s="2">
        <v>595</v>
      </c>
      <c r="C260" s="4">
        <v>137</v>
      </c>
      <c r="D260" s="5">
        <v>0.76</v>
      </c>
      <c r="E260" s="1" t="s">
        <v>22</v>
      </c>
      <c r="F260" s="1" t="s">
        <v>15</v>
      </c>
      <c r="G260" s="1" t="s">
        <v>23</v>
      </c>
      <c r="H260" s="1" t="s">
        <v>17</v>
      </c>
      <c r="I260" s="1" t="s">
        <v>539</v>
      </c>
      <c r="J260" s="1" t="s">
        <v>19</v>
      </c>
      <c r="K260" s="2">
        <v>1</v>
      </c>
      <c r="L260" s="1" t="s">
        <v>25</v>
      </c>
      <c r="M260" s="1" t="s">
        <v>384</v>
      </c>
    </row>
    <row r="261" spans="1:13" x14ac:dyDescent="0.3">
      <c r="A261" s="1" t="s">
        <v>385</v>
      </c>
      <c r="B261" s="2">
        <v>599</v>
      </c>
      <c r="C261" s="4">
        <v>299</v>
      </c>
      <c r="D261" s="5">
        <v>0.5</v>
      </c>
      <c r="E261" s="1" t="s">
        <v>22</v>
      </c>
      <c r="F261" s="1" t="s">
        <v>15</v>
      </c>
      <c r="G261" s="1" t="s">
        <v>105</v>
      </c>
      <c r="H261" s="1" t="s">
        <v>93</v>
      </c>
      <c r="I261" s="1" t="s">
        <v>18</v>
      </c>
      <c r="J261" s="1" t="s">
        <v>19</v>
      </c>
      <c r="K261" s="2">
        <v>1</v>
      </c>
      <c r="L261" s="1" t="s">
        <v>19</v>
      </c>
      <c r="M261" s="1" t="s">
        <v>53</v>
      </c>
    </row>
    <row r="262" spans="1:13" x14ac:dyDescent="0.3">
      <c r="A262" s="1" t="s">
        <v>386</v>
      </c>
      <c r="B262" s="2">
        <v>499</v>
      </c>
      <c r="C262" s="4">
        <v>129</v>
      </c>
      <c r="D262" s="5">
        <v>0.74</v>
      </c>
      <c r="E262" s="1" t="s">
        <v>14</v>
      </c>
      <c r="F262" s="1" t="s">
        <v>15</v>
      </c>
      <c r="G262" s="1" t="s">
        <v>64</v>
      </c>
      <c r="H262" s="1" t="s">
        <v>24</v>
      </c>
      <c r="I262" s="1" t="s">
        <v>18</v>
      </c>
      <c r="J262" s="1" t="s">
        <v>19</v>
      </c>
      <c r="K262" s="2">
        <v>1</v>
      </c>
      <c r="L262" s="1" t="s">
        <v>19</v>
      </c>
      <c r="M262" s="1" t="s">
        <v>98</v>
      </c>
    </row>
    <row r="263" spans="1:13" x14ac:dyDescent="0.3">
      <c r="A263" s="1" t="s">
        <v>387</v>
      </c>
      <c r="B263" s="2">
        <v>449</v>
      </c>
      <c r="C263" s="4">
        <v>125</v>
      </c>
      <c r="D263" s="5">
        <v>0.72</v>
      </c>
      <c r="E263" s="1" t="s">
        <v>14</v>
      </c>
      <c r="F263" s="1" t="s">
        <v>15</v>
      </c>
      <c r="G263" s="1" t="s">
        <v>141</v>
      </c>
      <c r="H263" s="1" t="s">
        <v>17</v>
      </c>
      <c r="I263" s="1" t="s">
        <v>539</v>
      </c>
      <c r="J263" s="1" t="s">
        <v>19</v>
      </c>
      <c r="K263" s="2">
        <v>1</v>
      </c>
      <c r="L263" s="1" t="s">
        <v>19</v>
      </c>
      <c r="M263" s="1" t="s">
        <v>232</v>
      </c>
    </row>
    <row r="264" spans="1:13" x14ac:dyDescent="0.3">
      <c r="A264" s="1" t="s">
        <v>388</v>
      </c>
      <c r="B264" s="2">
        <v>425</v>
      </c>
      <c r="C264" s="4">
        <v>275</v>
      </c>
      <c r="D264" s="5">
        <v>0.35</v>
      </c>
      <c r="E264" s="1" t="s">
        <v>22</v>
      </c>
      <c r="F264" s="1" t="s">
        <v>15</v>
      </c>
      <c r="G264" s="1" t="s">
        <v>23</v>
      </c>
      <c r="H264" s="1" t="s">
        <v>17</v>
      </c>
      <c r="I264" s="1" t="s">
        <v>539</v>
      </c>
      <c r="J264" s="1" t="s">
        <v>19</v>
      </c>
      <c r="K264" s="2">
        <v>1</v>
      </c>
      <c r="L264" s="1" t="s">
        <v>25</v>
      </c>
      <c r="M264" s="1" t="s">
        <v>389</v>
      </c>
    </row>
    <row r="265" spans="1:13" x14ac:dyDescent="0.3">
      <c r="A265" s="1" t="s">
        <v>390</v>
      </c>
      <c r="B265" s="2">
        <v>499</v>
      </c>
      <c r="C265" s="4">
        <v>145</v>
      </c>
      <c r="D265" s="5">
        <v>0.7</v>
      </c>
      <c r="E265" s="1" t="s">
        <v>22</v>
      </c>
      <c r="F265" s="1" t="s">
        <v>15</v>
      </c>
      <c r="G265" s="1" t="s">
        <v>16</v>
      </c>
      <c r="H265" s="1" t="s">
        <v>17</v>
      </c>
      <c r="I265" s="1" t="s">
        <v>18</v>
      </c>
      <c r="J265" s="1" t="s">
        <v>19</v>
      </c>
      <c r="K265" s="2">
        <v>1</v>
      </c>
      <c r="L265" s="1" t="s">
        <v>19</v>
      </c>
      <c r="M265" s="1" t="s">
        <v>391</v>
      </c>
    </row>
    <row r="266" spans="1:13" x14ac:dyDescent="0.3">
      <c r="A266" s="1" t="s">
        <v>392</v>
      </c>
      <c r="B266" s="2">
        <v>299</v>
      </c>
      <c r="C266" s="4">
        <v>119</v>
      </c>
      <c r="D266" s="5">
        <v>0.6</v>
      </c>
      <c r="E266" s="1" t="s">
        <v>22</v>
      </c>
      <c r="F266" s="1" t="s">
        <v>15</v>
      </c>
      <c r="G266" s="1" t="s">
        <v>23</v>
      </c>
      <c r="H266" s="1" t="s">
        <v>24</v>
      </c>
      <c r="I266" s="1" t="s">
        <v>539</v>
      </c>
      <c r="J266" s="1" t="s">
        <v>19</v>
      </c>
      <c r="K266" s="2">
        <v>1</v>
      </c>
      <c r="L266" s="1" t="s">
        <v>25</v>
      </c>
      <c r="M266" s="1" t="s">
        <v>393</v>
      </c>
    </row>
    <row r="267" spans="1:13" x14ac:dyDescent="0.3">
      <c r="A267" s="1" t="s">
        <v>394</v>
      </c>
      <c r="B267" s="2">
        <v>489</v>
      </c>
      <c r="C267" s="4">
        <v>145</v>
      </c>
      <c r="D267" s="5">
        <v>0.7</v>
      </c>
      <c r="E267" s="1" t="s">
        <v>22</v>
      </c>
      <c r="F267" s="1" t="s">
        <v>15</v>
      </c>
      <c r="G267" s="1" t="s">
        <v>23</v>
      </c>
      <c r="H267" s="1" t="s">
        <v>24</v>
      </c>
      <c r="I267" s="1" t="s">
        <v>539</v>
      </c>
      <c r="J267" s="1" t="s">
        <v>25</v>
      </c>
      <c r="K267" s="2">
        <v>1</v>
      </c>
      <c r="L267" s="1" t="s">
        <v>25</v>
      </c>
      <c r="M267" s="1" t="s">
        <v>37</v>
      </c>
    </row>
    <row r="268" spans="1:13" x14ac:dyDescent="0.3">
      <c r="A268" s="1" t="s">
        <v>395</v>
      </c>
      <c r="B268" s="2">
        <v>599</v>
      </c>
      <c r="C268" s="4">
        <v>126</v>
      </c>
      <c r="D268" s="5">
        <v>0.78</v>
      </c>
      <c r="E268" s="1" t="s">
        <v>22</v>
      </c>
      <c r="F268" s="1" t="s">
        <v>15</v>
      </c>
      <c r="G268" s="1" t="s">
        <v>141</v>
      </c>
      <c r="H268" s="1" t="s">
        <v>24</v>
      </c>
      <c r="I268" s="1" t="s">
        <v>539</v>
      </c>
      <c r="J268" s="1" t="s">
        <v>19</v>
      </c>
      <c r="K268" s="2">
        <v>1</v>
      </c>
      <c r="L268" s="1" t="s">
        <v>25</v>
      </c>
      <c r="M268" s="1" t="s">
        <v>396</v>
      </c>
    </row>
    <row r="269" spans="1:13" x14ac:dyDescent="0.3">
      <c r="A269" s="1" t="s">
        <v>78</v>
      </c>
      <c r="B269" s="2">
        <v>299</v>
      </c>
      <c r="C269" s="4">
        <v>124</v>
      </c>
      <c r="D269" s="5">
        <v>0.57999999999999996</v>
      </c>
      <c r="E269" s="1" t="s">
        <v>22</v>
      </c>
      <c r="F269" s="1" t="s">
        <v>15</v>
      </c>
      <c r="G269" s="1" t="s">
        <v>36</v>
      </c>
      <c r="H269" s="1" t="s">
        <v>17</v>
      </c>
      <c r="I269" s="1" t="s">
        <v>539</v>
      </c>
      <c r="J269" s="1" t="s">
        <v>25</v>
      </c>
      <c r="K269" s="2">
        <v>1</v>
      </c>
      <c r="L269" s="1" t="s">
        <v>25</v>
      </c>
      <c r="M269" s="1" t="s">
        <v>69</v>
      </c>
    </row>
    <row r="270" spans="1:13" x14ac:dyDescent="0.3">
      <c r="A270" s="1" t="s">
        <v>388</v>
      </c>
      <c r="B270" s="2">
        <v>625</v>
      </c>
      <c r="C270" s="4">
        <v>298</v>
      </c>
      <c r="D270" s="5">
        <v>0.52</v>
      </c>
      <c r="E270" s="1" t="s">
        <v>22</v>
      </c>
      <c r="F270" s="1" t="s">
        <v>15</v>
      </c>
      <c r="G270" s="1" t="s">
        <v>23</v>
      </c>
      <c r="H270" s="1" t="s">
        <v>17</v>
      </c>
      <c r="I270" s="1" t="s">
        <v>539</v>
      </c>
      <c r="J270" s="1" t="s">
        <v>19</v>
      </c>
      <c r="K270" s="2">
        <v>1</v>
      </c>
      <c r="L270" s="1" t="s">
        <v>25</v>
      </c>
      <c r="M270" s="1" t="s">
        <v>389</v>
      </c>
    </row>
    <row r="271" spans="1:13" x14ac:dyDescent="0.3">
      <c r="A271" s="1" t="s">
        <v>397</v>
      </c>
      <c r="B271" s="2">
        <v>625</v>
      </c>
      <c r="C271" s="4">
        <v>122</v>
      </c>
      <c r="D271" s="5">
        <v>0.8</v>
      </c>
      <c r="E271" s="1" t="s">
        <v>22</v>
      </c>
      <c r="F271" s="1" t="s">
        <v>15</v>
      </c>
      <c r="G271" s="1" t="s">
        <v>105</v>
      </c>
      <c r="H271" s="1" t="s">
        <v>24</v>
      </c>
      <c r="I271" s="1" t="s">
        <v>539</v>
      </c>
      <c r="J271" s="1" t="s">
        <v>19</v>
      </c>
      <c r="K271" s="2">
        <v>1</v>
      </c>
      <c r="L271" s="1" t="s">
        <v>19</v>
      </c>
      <c r="M271" s="1" t="s">
        <v>96</v>
      </c>
    </row>
    <row r="272" spans="1:13" x14ac:dyDescent="0.3">
      <c r="A272" s="1" t="s">
        <v>237</v>
      </c>
      <c r="B272" s="2">
        <v>499</v>
      </c>
      <c r="C272" s="4">
        <v>141</v>
      </c>
      <c r="D272" s="5">
        <v>0.71</v>
      </c>
      <c r="E272" s="1" t="s">
        <v>22</v>
      </c>
      <c r="F272" s="1" t="s">
        <v>15</v>
      </c>
      <c r="G272" s="1" t="s">
        <v>23</v>
      </c>
      <c r="H272" s="1" t="s">
        <v>24</v>
      </c>
      <c r="I272" s="1" t="s">
        <v>539</v>
      </c>
      <c r="J272" s="1" t="s">
        <v>25</v>
      </c>
      <c r="K272" s="2">
        <v>1</v>
      </c>
      <c r="L272" s="1" t="s">
        <v>25</v>
      </c>
      <c r="M272" s="1" t="s">
        <v>238</v>
      </c>
    </row>
    <row r="273" spans="1:13" x14ac:dyDescent="0.3">
      <c r="A273" s="1" t="s">
        <v>388</v>
      </c>
      <c r="B273" s="2">
        <v>419</v>
      </c>
      <c r="C273" s="4">
        <v>289</v>
      </c>
      <c r="D273" s="5">
        <v>0.31</v>
      </c>
      <c r="E273" s="1" t="s">
        <v>22</v>
      </c>
      <c r="F273" s="1" t="s">
        <v>15</v>
      </c>
      <c r="G273" s="1" t="s">
        <v>23</v>
      </c>
      <c r="H273" s="1" t="s">
        <v>17</v>
      </c>
      <c r="I273" s="1" t="s">
        <v>539</v>
      </c>
      <c r="J273" s="1" t="s">
        <v>19</v>
      </c>
      <c r="K273" s="2">
        <v>1</v>
      </c>
      <c r="L273" s="1" t="s">
        <v>25</v>
      </c>
      <c r="M273" s="1" t="s">
        <v>389</v>
      </c>
    </row>
    <row r="274" spans="1:13" x14ac:dyDescent="0.3">
      <c r="A274" s="1" t="s">
        <v>398</v>
      </c>
      <c r="B274" s="2">
        <v>499</v>
      </c>
      <c r="C274" s="4">
        <v>135</v>
      </c>
      <c r="D274" s="5">
        <v>0.72</v>
      </c>
      <c r="E274" s="1" t="s">
        <v>22</v>
      </c>
      <c r="F274" s="1" t="s">
        <v>15</v>
      </c>
      <c r="G274" s="1" t="s">
        <v>23</v>
      </c>
      <c r="H274" s="1" t="s">
        <v>17</v>
      </c>
      <c r="I274" s="1" t="s">
        <v>539</v>
      </c>
      <c r="J274" s="1" t="s">
        <v>19</v>
      </c>
      <c r="K274" s="2">
        <v>1</v>
      </c>
      <c r="L274" s="1" t="s">
        <v>25</v>
      </c>
      <c r="M274" s="1" t="s">
        <v>39</v>
      </c>
    </row>
    <row r="275" spans="1:13" x14ac:dyDescent="0.3">
      <c r="A275" s="1" t="s">
        <v>399</v>
      </c>
      <c r="B275" s="2">
        <v>399</v>
      </c>
      <c r="C275" s="4">
        <v>125</v>
      </c>
      <c r="D275" s="5">
        <v>0.68</v>
      </c>
      <c r="E275" s="1" t="s">
        <v>22</v>
      </c>
      <c r="F275" s="1" t="s">
        <v>15</v>
      </c>
      <c r="G275" s="1" t="s">
        <v>23</v>
      </c>
      <c r="H275" s="1" t="s">
        <v>24</v>
      </c>
      <c r="I275" s="1" t="s">
        <v>539</v>
      </c>
      <c r="J275" s="1" t="s">
        <v>25</v>
      </c>
      <c r="K275" s="2">
        <v>1</v>
      </c>
      <c r="L275" s="1" t="s">
        <v>25</v>
      </c>
      <c r="M275" s="1" t="s">
        <v>33</v>
      </c>
    </row>
    <row r="276" spans="1:13" x14ac:dyDescent="0.3">
      <c r="A276" s="1" t="s">
        <v>371</v>
      </c>
      <c r="B276" s="2">
        <v>489</v>
      </c>
      <c r="C276" s="4">
        <v>189</v>
      </c>
      <c r="D276" s="5">
        <v>0.61</v>
      </c>
      <c r="E276" s="1" t="s">
        <v>22</v>
      </c>
      <c r="F276" s="1" t="s">
        <v>15</v>
      </c>
      <c r="G276" s="1" t="s">
        <v>28</v>
      </c>
      <c r="H276" s="1" t="s">
        <v>17</v>
      </c>
      <c r="I276" s="1" t="s">
        <v>539</v>
      </c>
      <c r="J276" s="1" t="s">
        <v>19</v>
      </c>
      <c r="K276" s="2">
        <v>1</v>
      </c>
      <c r="L276" s="1" t="s">
        <v>25</v>
      </c>
      <c r="M276" s="1" t="s">
        <v>44</v>
      </c>
    </row>
    <row r="277" spans="1:13" x14ac:dyDescent="0.3">
      <c r="A277" s="1" t="s">
        <v>388</v>
      </c>
      <c r="B277" s="2">
        <v>449</v>
      </c>
      <c r="C277" s="4">
        <v>271</v>
      </c>
      <c r="D277" s="5">
        <v>0.39</v>
      </c>
      <c r="E277" s="1" t="s">
        <v>22</v>
      </c>
      <c r="F277" s="1" t="s">
        <v>15</v>
      </c>
      <c r="G277" s="1" t="s">
        <v>23</v>
      </c>
      <c r="H277" s="1" t="s">
        <v>17</v>
      </c>
      <c r="I277" s="1" t="s">
        <v>539</v>
      </c>
      <c r="J277" s="1" t="s">
        <v>19</v>
      </c>
      <c r="K277" s="2">
        <v>1</v>
      </c>
      <c r="L277" s="1" t="s">
        <v>25</v>
      </c>
      <c r="M277" s="1" t="s">
        <v>389</v>
      </c>
    </row>
    <row r="278" spans="1:13" x14ac:dyDescent="0.3">
      <c r="A278" s="1" t="s">
        <v>400</v>
      </c>
      <c r="B278" s="2">
        <v>399</v>
      </c>
      <c r="C278" s="4">
        <v>127</v>
      </c>
      <c r="D278" s="5">
        <v>0.68</v>
      </c>
      <c r="E278" s="1" t="s">
        <v>22</v>
      </c>
      <c r="F278" s="1" t="s">
        <v>15</v>
      </c>
      <c r="G278" s="1" t="s">
        <v>16</v>
      </c>
      <c r="H278" s="1" t="s">
        <v>24</v>
      </c>
      <c r="I278" s="1" t="s">
        <v>539</v>
      </c>
      <c r="J278" s="1" t="s">
        <v>25</v>
      </c>
      <c r="K278" s="2">
        <v>1</v>
      </c>
      <c r="L278" s="1" t="s">
        <v>19</v>
      </c>
      <c r="M278" s="1" t="s">
        <v>401</v>
      </c>
    </row>
    <row r="279" spans="1:13" x14ac:dyDescent="0.3">
      <c r="A279" s="1" t="s">
        <v>252</v>
      </c>
      <c r="B279" s="2">
        <v>596</v>
      </c>
      <c r="C279" s="4">
        <v>126</v>
      </c>
      <c r="D279" s="5">
        <v>0.78</v>
      </c>
      <c r="E279" s="1" t="s">
        <v>22</v>
      </c>
      <c r="F279" s="1" t="s">
        <v>15</v>
      </c>
      <c r="G279" s="1" t="s">
        <v>49</v>
      </c>
      <c r="H279" s="1" t="s">
        <v>24</v>
      </c>
      <c r="I279" s="1" t="s">
        <v>539</v>
      </c>
      <c r="J279" s="1" t="s">
        <v>25</v>
      </c>
      <c r="K279" s="2">
        <v>1</v>
      </c>
      <c r="L279" s="1" t="s">
        <v>25</v>
      </c>
      <c r="M279" s="1" t="s">
        <v>26</v>
      </c>
    </row>
    <row r="280" spans="1:13" x14ac:dyDescent="0.3">
      <c r="A280" s="1" t="s">
        <v>402</v>
      </c>
      <c r="B280" s="2">
        <v>499</v>
      </c>
      <c r="C280" s="4">
        <v>130</v>
      </c>
      <c r="D280" s="5">
        <v>0.73</v>
      </c>
      <c r="E280" s="1" t="s">
        <v>14</v>
      </c>
      <c r="F280" s="1" t="s">
        <v>15</v>
      </c>
      <c r="G280" s="1" t="s">
        <v>46</v>
      </c>
      <c r="H280" s="1" t="s">
        <v>17</v>
      </c>
      <c r="I280" s="1" t="s">
        <v>18</v>
      </c>
      <c r="J280" s="1" t="s">
        <v>19</v>
      </c>
      <c r="K280" s="2">
        <v>1</v>
      </c>
      <c r="L280" s="1" t="s">
        <v>25</v>
      </c>
      <c r="M280" s="1" t="s">
        <v>39</v>
      </c>
    </row>
    <row r="281" spans="1:13" x14ac:dyDescent="0.3">
      <c r="A281" s="1" t="s">
        <v>403</v>
      </c>
      <c r="B281" s="2">
        <v>499</v>
      </c>
      <c r="C281" s="4">
        <v>130</v>
      </c>
      <c r="D281" s="5">
        <v>0.73</v>
      </c>
      <c r="E281" s="1" t="s">
        <v>22</v>
      </c>
      <c r="F281" s="1" t="s">
        <v>15</v>
      </c>
      <c r="G281" s="1" t="s">
        <v>64</v>
      </c>
      <c r="H281" s="1" t="s">
        <v>24</v>
      </c>
      <c r="I281" s="1" t="s">
        <v>18</v>
      </c>
      <c r="J281" s="1" t="s">
        <v>19</v>
      </c>
      <c r="K281" s="2">
        <v>1</v>
      </c>
      <c r="L281" s="1" t="s">
        <v>25</v>
      </c>
      <c r="M281" s="1" t="s">
        <v>404</v>
      </c>
    </row>
    <row r="282" spans="1:13" x14ac:dyDescent="0.3">
      <c r="A282" s="1" t="s">
        <v>347</v>
      </c>
      <c r="B282" s="2">
        <v>599</v>
      </c>
      <c r="C282" s="4">
        <v>126</v>
      </c>
      <c r="D282" s="5">
        <v>0.78</v>
      </c>
      <c r="E282" s="1" t="s">
        <v>22</v>
      </c>
      <c r="F282" s="1" t="s">
        <v>15</v>
      </c>
      <c r="G282" s="1" t="s">
        <v>23</v>
      </c>
      <c r="H282" s="1" t="s">
        <v>24</v>
      </c>
      <c r="I282" s="1" t="s">
        <v>539</v>
      </c>
      <c r="J282" s="1" t="s">
        <v>25</v>
      </c>
      <c r="K282" s="2">
        <v>1</v>
      </c>
      <c r="L282" s="1" t="s">
        <v>25</v>
      </c>
      <c r="M282" s="1" t="s">
        <v>26</v>
      </c>
    </row>
    <row r="283" spans="1:13" x14ac:dyDescent="0.3">
      <c r="A283" s="1" t="s">
        <v>183</v>
      </c>
      <c r="B283" s="2">
        <v>299</v>
      </c>
      <c r="C283" s="4">
        <v>166</v>
      </c>
      <c r="D283" s="5">
        <v>0.44</v>
      </c>
      <c r="E283" s="1" t="s">
        <v>14</v>
      </c>
      <c r="F283" s="1" t="s">
        <v>15</v>
      </c>
      <c r="G283" s="1" t="s">
        <v>23</v>
      </c>
      <c r="H283" s="1" t="s">
        <v>24</v>
      </c>
      <c r="I283" s="1" t="s">
        <v>539</v>
      </c>
      <c r="J283" s="1" t="s">
        <v>25</v>
      </c>
      <c r="K283" s="2">
        <v>1</v>
      </c>
      <c r="L283" s="1" t="s">
        <v>25</v>
      </c>
      <c r="M283" s="1" t="s">
        <v>184</v>
      </c>
    </row>
    <row r="284" spans="1:13" x14ac:dyDescent="0.3">
      <c r="A284" s="1" t="s">
        <v>405</v>
      </c>
      <c r="B284" s="2">
        <v>349</v>
      </c>
      <c r="C284" s="4">
        <v>199</v>
      </c>
      <c r="D284" s="5">
        <v>0.42</v>
      </c>
      <c r="E284" s="1" t="s">
        <v>22</v>
      </c>
      <c r="F284" s="1" t="s">
        <v>15</v>
      </c>
      <c r="G284" s="1" t="s">
        <v>105</v>
      </c>
      <c r="H284" s="1" t="s">
        <v>24</v>
      </c>
      <c r="I284" s="1" t="s">
        <v>18</v>
      </c>
      <c r="J284" s="1" t="s">
        <v>19</v>
      </c>
      <c r="K284" s="2">
        <v>1</v>
      </c>
      <c r="L284" s="1" t="s">
        <v>19</v>
      </c>
      <c r="M284" s="1" t="s">
        <v>53</v>
      </c>
    </row>
    <row r="285" spans="1:13" x14ac:dyDescent="0.3">
      <c r="A285" s="1" t="s">
        <v>406</v>
      </c>
      <c r="B285" s="2">
        <v>499</v>
      </c>
      <c r="C285" s="4">
        <v>150</v>
      </c>
      <c r="D285" s="5">
        <v>0.69</v>
      </c>
      <c r="E285" s="1" t="s">
        <v>22</v>
      </c>
      <c r="F285" s="1" t="s">
        <v>15</v>
      </c>
      <c r="G285" s="1" t="s">
        <v>28</v>
      </c>
      <c r="H285" s="1" t="s">
        <v>17</v>
      </c>
      <c r="I285" s="1" t="s">
        <v>539</v>
      </c>
      <c r="J285" s="1" t="s">
        <v>25</v>
      </c>
      <c r="K285" s="2">
        <v>1</v>
      </c>
      <c r="L285" s="1" t="s">
        <v>25</v>
      </c>
      <c r="M285" s="1" t="s">
        <v>340</v>
      </c>
    </row>
    <row r="286" spans="1:13" x14ac:dyDescent="0.3">
      <c r="A286" s="1" t="s">
        <v>407</v>
      </c>
      <c r="B286" s="2">
        <v>299</v>
      </c>
      <c r="C286" s="4">
        <v>127</v>
      </c>
      <c r="D286" s="5">
        <v>0.56999999999999995</v>
      </c>
      <c r="E286" s="1" t="s">
        <v>22</v>
      </c>
      <c r="F286" s="1" t="s">
        <v>15</v>
      </c>
      <c r="G286" s="1" t="s">
        <v>16</v>
      </c>
      <c r="H286" s="1" t="s">
        <v>24</v>
      </c>
      <c r="I286" s="1" t="s">
        <v>539</v>
      </c>
      <c r="J286" s="1" t="s">
        <v>25</v>
      </c>
      <c r="K286" s="2">
        <v>1</v>
      </c>
      <c r="L286" s="1" t="s">
        <v>19</v>
      </c>
      <c r="M286" s="1" t="s">
        <v>127</v>
      </c>
    </row>
    <row r="287" spans="1:13" x14ac:dyDescent="0.3">
      <c r="A287" s="1" t="s">
        <v>408</v>
      </c>
      <c r="B287" s="2">
        <v>449</v>
      </c>
      <c r="C287" s="4">
        <v>178</v>
      </c>
      <c r="D287" s="5">
        <v>0.6</v>
      </c>
      <c r="E287" s="1" t="s">
        <v>22</v>
      </c>
      <c r="F287" s="1" t="s">
        <v>15</v>
      </c>
      <c r="G287" s="1" t="s">
        <v>36</v>
      </c>
      <c r="H287" s="1" t="s">
        <v>17</v>
      </c>
      <c r="I287" s="1" t="s">
        <v>539</v>
      </c>
      <c r="J287" s="1" t="s">
        <v>19</v>
      </c>
      <c r="K287" s="2">
        <v>1</v>
      </c>
      <c r="L287" s="1" t="s">
        <v>25</v>
      </c>
      <c r="M287" s="1" t="s">
        <v>44</v>
      </c>
    </row>
    <row r="288" spans="1:13" x14ac:dyDescent="0.3">
      <c r="A288" s="1" t="s">
        <v>409</v>
      </c>
      <c r="B288" s="2">
        <v>499</v>
      </c>
      <c r="C288" s="4">
        <v>135</v>
      </c>
      <c r="D288" s="5">
        <v>0.72</v>
      </c>
      <c r="E288" s="1" t="s">
        <v>22</v>
      </c>
      <c r="F288" s="1" t="s">
        <v>15</v>
      </c>
      <c r="G288" s="1" t="s">
        <v>28</v>
      </c>
      <c r="H288" s="1" t="s">
        <v>24</v>
      </c>
      <c r="I288" s="1" t="s">
        <v>539</v>
      </c>
      <c r="J288" s="1" t="s">
        <v>25</v>
      </c>
      <c r="K288" s="2">
        <v>1</v>
      </c>
      <c r="L288" s="1" t="s">
        <v>25</v>
      </c>
      <c r="M288" s="1" t="s">
        <v>39</v>
      </c>
    </row>
    <row r="289" spans="1:13" x14ac:dyDescent="0.3">
      <c r="A289" s="1" t="s">
        <v>410</v>
      </c>
      <c r="B289" s="2">
        <v>649</v>
      </c>
      <c r="C289" s="4">
        <v>145</v>
      </c>
      <c r="D289" s="5">
        <v>0.77</v>
      </c>
      <c r="E289" s="1" t="s">
        <v>22</v>
      </c>
      <c r="F289" s="1" t="s">
        <v>15</v>
      </c>
      <c r="G289" s="1" t="s">
        <v>64</v>
      </c>
      <c r="H289" s="1" t="s">
        <v>24</v>
      </c>
      <c r="I289" s="1" t="s">
        <v>539</v>
      </c>
      <c r="J289" s="1" t="s">
        <v>19</v>
      </c>
      <c r="K289" s="2">
        <v>1</v>
      </c>
      <c r="L289" s="1" t="s">
        <v>25</v>
      </c>
      <c r="M289" s="1" t="s">
        <v>411</v>
      </c>
    </row>
    <row r="290" spans="1:13" x14ac:dyDescent="0.3">
      <c r="A290" s="1" t="s">
        <v>412</v>
      </c>
      <c r="B290" s="2">
        <v>320</v>
      </c>
      <c r="C290" s="4">
        <v>121</v>
      </c>
      <c r="D290" s="5">
        <v>0.62</v>
      </c>
      <c r="E290" s="1" t="s">
        <v>22</v>
      </c>
      <c r="F290" s="1" t="s">
        <v>15</v>
      </c>
      <c r="G290" s="1" t="s">
        <v>49</v>
      </c>
      <c r="H290" s="1" t="s">
        <v>24</v>
      </c>
      <c r="I290" s="1" t="s">
        <v>539</v>
      </c>
      <c r="J290" s="1" t="s">
        <v>25</v>
      </c>
      <c r="K290" s="2">
        <v>15</v>
      </c>
      <c r="L290" s="1" t="s">
        <v>25</v>
      </c>
      <c r="M290" s="1" t="s">
        <v>413</v>
      </c>
    </row>
    <row r="291" spans="1:13" x14ac:dyDescent="0.3">
      <c r="A291" s="1" t="s">
        <v>414</v>
      </c>
      <c r="B291" s="2">
        <v>366</v>
      </c>
      <c r="C291" s="4">
        <v>134</v>
      </c>
      <c r="D291" s="5">
        <v>0.63</v>
      </c>
      <c r="E291" s="1" t="s">
        <v>22</v>
      </c>
      <c r="F291" s="1" t="s">
        <v>15</v>
      </c>
      <c r="G291" s="1" t="s">
        <v>36</v>
      </c>
      <c r="H291" s="1" t="s">
        <v>17</v>
      </c>
      <c r="I291" s="1" t="s">
        <v>539</v>
      </c>
      <c r="J291" s="1" t="s">
        <v>19</v>
      </c>
      <c r="K291" s="2">
        <v>0</v>
      </c>
      <c r="L291" s="1" t="s">
        <v>19</v>
      </c>
      <c r="M291" s="1" t="s">
        <v>75</v>
      </c>
    </row>
    <row r="292" spans="1:13" x14ac:dyDescent="0.3">
      <c r="A292" s="1" t="s">
        <v>114</v>
      </c>
      <c r="B292" s="2">
        <v>399</v>
      </c>
      <c r="C292" s="4">
        <v>134</v>
      </c>
      <c r="D292" s="5">
        <v>0.66</v>
      </c>
      <c r="E292" s="1" t="s">
        <v>14</v>
      </c>
      <c r="F292" s="1" t="s">
        <v>15</v>
      </c>
      <c r="G292" s="1" t="s">
        <v>36</v>
      </c>
      <c r="H292" s="1" t="s">
        <v>17</v>
      </c>
      <c r="I292" s="1" t="s">
        <v>539</v>
      </c>
      <c r="J292" s="1" t="s">
        <v>25</v>
      </c>
      <c r="K292" s="2">
        <v>1</v>
      </c>
      <c r="L292" s="1" t="s">
        <v>25</v>
      </c>
      <c r="M292" s="1" t="s">
        <v>26</v>
      </c>
    </row>
    <row r="293" spans="1:13" x14ac:dyDescent="0.3">
      <c r="A293" s="1" t="s">
        <v>415</v>
      </c>
      <c r="B293" s="2">
        <v>499</v>
      </c>
      <c r="C293" s="4">
        <v>150</v>
      </c>
      <c r="D293" s="5">
        <v>0.69</v>
      </c>
      <c r="E293" s="1" t="s">
        <v>14</v>
      </c>
      <c r="F293" s="1" t="s">
        <v>15</v>
      </c>
      <c r="G293" s="1" t="s">
        <v>23</v>
      </c>
      <c r="H293" s="1" t="s">
        <v>24</v>
      </c>
      <c r="I293" s="1" t="s">
        <v>539</v>
      </c>
      <c r="J293" s="1" t="s">
        <v>25</v>
      </c>
      <c r="K293" s="2">
        <v>1</v>
      </c>
      <c r="L293" s="1" t="s">
        <v>25</v>
      </c>
      <c r="M293" s="1" t="s">
        <v>39</v>
      </c>
    </row>
    <row r="294" spans="1:13" x14ac:dyDescent="0.3">
      <c r="A294" s="1" t="s">
        <v>416</v>
      </c>
      <c r="B294" s="2">
        <v>499</v>
      </c>
      <c r="C294" s="4">
        <v>237</v>
      </c>
      <c r="D294" s="5">
        <v>0.52</v>
      </c>
      <c r="E294" s="1" t="s">
        <v>417</v>
      </c>
      <c r="F294" s="1" t="s">
        <v>15</v>
      </c>
      <c r="G294" s="1" t="s">
        <v>64</v>
      </c>
      <c r="H294" s="1" t="s">
        <v>24</v>
      </c>
      <c r="I294" s="1" t="s">
        <v>18</v>
      </c>
      <c r="J294" s="1" t="s">
        <v>25</v>
      </c>
      <c r="K294" s="2">
        <v>1</v>
      </c>
      <c r="L294" s="1" t="s">
        <v>25</v>
      </c>
      <c r="M294" s="1" t="s">
        <v>65</v>
      </c>
    </row>
    <row r="295" spans="1:13" x14ac:dyDescent="0.3">
      <c r="A295" s="1" t="s">
        <v>418</v>
      </c>
      <c r="B295" s="2">
        <v>499</v>
      </c>
      <c r="C295" s="4">
        <v>126</v>
      </c>
      <c r="D295" s="5">
        <v>0.74</v>
      </c>
      <c r="E295" s="1" t="s">
        <v>14</v>
      </c>
      <c r="F295" s="1" t="s">
        <v>15</v>
      </c>
      <c r="G295" s="1" t="s">
        <v>49</v>
      </c>
      <c r="H295" s="1" t="s">
        <v>24</v>
      </c>
      <c r="I295" s="1" t="s">
        <v>539</v>
      </c>
      <c r="J295" s="1" t="s">
        <v>25</v>
      </c>
      <c r="K295" s="2">
        <v>1</v>
      </c>
      <c r="L295" s="1" t="s">
        <v>25</v>
      </c>
      <c r="M295" s="1" t="s">
        <v>419</v>
      </c>
    </row>
    <row r="296" spans="1:13" x14ac:dyDescent="0.3">
      <c r="A296" s="1" t="s">
        <v>420</v>
      </c>
      <c r="B296" s="2">
        <v>499</v>
      </c>
      <c r="C296" s="4">
        <v>139</v>
      </c>
      <c r="D296" s="5">
        <v>0.72</v>
      </c>
      <c r="E296" s="1" t="s">
        <v>22</v>
      </c>
      <c r="F296" s="1" t="s">
        <v>15</v>
      </c>
      <c r="G296" s="1" t="s">
        <v>28</v>
      </c>
      <c r="H296" s="1" t="s">
        <v>17</v>
      </c>
      <c r="I296" s="1" t="s">
        <v>539</v>
      </c>
      <c r="J296" s="1" t="s">
        <v>19</v>
      </c>
      <c r="K296" s="2">
        <v>1</v>
      </c>
      <c r="L296" s="1" t="s">
        <v>25</v>
      </c>
      <c r="M296" s="1" t="s">
        <v>55</v>
      </c>
    </row>
    <row r="297" spans="1:13" x14ac:dyDescent="0.3">
      <c r="A297" s="1" t="s">
        <v>421</v>
      </c>
      <c r="B297" s="2">
        <v>299</v>
      </c>
      <c r="C297" s="4">
        <v>171</v>
      </c>
      <c r="D297" s="5">
        <v>0.42</v>
      </c>
      <c r="E297" s="1" t="s">
        <v>14</v>
      </c>
      <c r="F297" s="1" t="s">
        <v>15</v>
      </c>
      <c r="G297" s="1" t="s">
        <v>28</v>
      </c>
      <c r="H297" s="1" t="s">
        <v>17</v>
      </c>
      <c r="I297" s="1" t="s">
        <v>539</v>
      </c>
      <c r="J297" s="1" t="s">
        <v>25</v>
      </c>
      <c r="K297" s="2">
        <v>1</v>
      </c>
      <c r="L297" s="1" t="s">
        <v>25</v>
      </c>
      <c r="M297" s="1" t="s">
        <v>55</v>
      </c>
    </row>
    <row r="298" spans="1:13" x14ac:dyDescent="0.3">
      <c r="A298" s="1" t="s">
        <v>422</v>
      </c>
      <c r="B298" s="2">
        <v>300</v>
      </c>
      <c r="C298" s="4">
        <v>113</v>
      </c>
      <c r="D298" s="5">
        <v>0.62</v>
      </c>
      <c r="E298" s="1" t="s">
        <v>22</v>
      </c>
      <c r="F298" s="1" t="s">
        <v>15</v>
      </c>
      <c r="G298" s="1" t="s">
        <v>16</v>
      </c>
      <c r="H298" s="1" t="s">
        <v>17</v>
      </c>
      <c r="I298" s="1" t="s">
        <v>18</v>
      </c>
      <c r="J298" s="1" t="s">
        <v>25</v>
      </c>
      <c r="K298" s="2">
        <v>1</v>
      </c>
      <c r="L298" s="1" t="s">
        <v>25</v>
      </c>
      <c r="M298" s="1" t="s">
        <v>277</v>
      </c>
    </row>
    <row r="299" spans="1:13" x14ac:dyDescent="0.3">
      <c r="A299" s="1" t="s">
        <v>423</v>
      </c>
      <c r="B299" s="2">
        <v>346</v>
      </c>
      <c r="C299" s="4">
        <v>165</v>
      </c>
      <c r="D299" s="5">
        <v>0.52</v>
      </c>
      <c r="E299" s="1" t="s">
        <v>14</v>
      </c>
      <c r="F299" s="1" t="s">
        <v>15</v>
      </c>
      <c r="G299" s="1" t="s">
        <v>46</v>
      </c>
      <c r="H299" s="1" t="s">
        <v>24</v>
      </c>
      <c r="I299" s="1" t="s">
        <v>18</v>
      </c>
      <c r="J299" s="1" t="s">
        <v>25</v>
      </c>
      <c r="K299" s="2">
        <v>3</v>
      </c>
      <c r="L299" s="1" t="s">
        <v>19</v>
      </c>
      <c r="M299" s="1" t="s">
        <v>424</v>
      </c>
    </row>
    <row r="300" spans="1:13" x14ac:dyDescent="0.3">
      <c r="A300" s="1" t="s">
        <v>115</v>
      </c>
      <c r="B300" s="2">
        <v>489</v>
      </c>
      <c r="C300" s="4">
        <v>158</v>
      </c>
      <c r="D300" s="5">
        <v>0.67</v>
      </c>
      <c r="E300" s="1" t="s">
        <v>14</v>
      </c>
      <c r="F300" s="1" t="s">
        <v>15</v>
      </c>
      <c r="G300" s="1" t="s">
        <v>28</v>
      </c>
      <c r="H300" s="1" t="s">
        <v>24</v>
      </c>
      <c r="I300" s="1" t="s">
        <v>539</v>
      </c>
      <c r="J300" s="1" t="s">
        <v>25</v>
      </c>
      <c r="K300" s="2">
        <v>1</v>
      </c>
      <c r="L300" s="1" t="s">
        <v>25</v>
      </c>
      <c r="M300" s="1" t="s">
        <v>103</v>
      </c>
    </row>
    <row r="301" spans="1:13" x14ac:dyDescent="0.3">
      <c r="A301" s="1" t="s">
        <v>425</v>
      </c>
      <c r="B301" s="2">
        <v>599</v>
      </c>
      <c r="C301" s="4">
        <v>120</v>
      </c>
      <c r="D301" s="5">
        <v>0.79</v>
      </c>
      <c r="E301" s="1" t="s">
        <v>22</v>
      </c>
      <c r="F301" s="1" t="s">
        <v>15</v>
      </c>
      <c r="G301" s="1" t="s">
        <v>23</v>
      </c>
      <c r="H301" s="1" t="s">
        <v>24</v>
      </c>
      <c r="I301" s="1" t="s">
        <v>539</v>
      </c>
      <c r="J301" s="1" t="s">
        <v>25</v>
      </c>
      <c r="K301" s="2">
        <v>1</v>
      </c>
      <c r="L301" s="1" t="s">
        <v>25</v>
      </c>
      <c r="M301" s="1" t="s">
        <v>26</v>
      </c>
    </row>
    <row r="302" spans="1:13" x14ac:dyDescent="0.3">
      <c r="A302" s="1" t="s">
        <v>426</v>
      </c>
      <c r="B302" s="2">
        <v>399</v>
      </c>
      <c r="C302" s="4">
        <v>136</v>
      </c>
      <c r="D302" s="5">
        <v>0.65</v>
      </c>
      <c r="E302" s="1" t="s">
        <v>22</v>
      </c>
      <c r="F302" s="1" t="s">
        <v>15</v>
      </c>
      <c r="G302" s="1" t="s">
        <v>23</v>
      </c>
      <c r="H302" s="1" t="s">
        <v>17</v>
      </c>
      <c r="I302" s="1" t="s">
        <v>539</v>
      </c>
      <c r="J302" s="1" t="s">
        <v>19</v>
      </c>
      <c r="K302" s="2">
        <v>1</v>
      </c>
      <c r="L302" s="1" t="s">
        <v>25</v>
      </c>
      <c r="M302" s="1" t="s">
        <v>39</v>
      </c>
    </row>
    <row r="303" spans="1:13" x14ac:dyDescent="0.3">
      <c r="A303" s="1" t="s">
        <v>427</v>
      </c>
      <c r="B303" s="2">
        <v>499</v>
      </c>
      <c r="C303" s="4">
        <v>155</v>
      </c>
      <c r="D303" s="5">
        <v>0.68</v>
      </c>
      <c r="E303" s="1" t="s">
        <v>22</v>
      </c>
      <c r="F303" s="1" t="s">
        <v>15</v>
      </c>
      <c r="G303" s="1" t="s">
        <v>28</v>
      </c>
      <c r="H303" s="1" t="s">
        <v>24</v>
      </c>
      <c r="I303" s="1" t="s">
        <v>539</v>
      </c>
      <c r="J303" s="1" t="s">
        <v>19</v>
      </c>
      <c r="K303" s="2">
        <v>1</v>
      </c>
      <c r="L303" s="1" t="s">
        <v>25</v>
      </c>
      <c r="M303" s="1" t="s">
        <v>428</v>
      </c>
    </row>
    <row r="304" spans="1:13" x14ac:dyDescent="0.3">
      <c r="A304" s="1" t="s">
        <v>227</v>
      </c>
      <c r="B304" s="2">
        <v>199</v>
      </c>
      <c r="C304" s="4">
        <v>126</v>
      </c>
      <c r="D304" s="5">
        <v>0.36</v>
      </c>
      <c r="E304" s="1" t="s">
        <v>22</v>
      </c>
      <c r="F304" s="1" t="s">
        <v>15</v>
      </c>
      <c r="G304" s="1" t="s">
        <v>23</v>
      </c>
      <c r="H304" s="1" t="s">
        <v>17</v>
      </c>
      <c r="I304" s="1" t="s">
        <v>539</v>
      </c>
      <c r="J304" s="1" t="s">
        <v>19</v>
      </c>
      <c r="K304" s="2">
        <v>1</v>
      </c>
      <c r="L304" s="1" t="s">
        <v>25</v>
      </c>
      <c r="M304" s="1" t="s">
        <v>39</v>
      </c>
    </row>
    <row r="305" spans="1:13" x14ac:dyDescent="0.3">
      <c r="A305" s="1" t="s">
        <v>429</v>
      </c>
      <c r="B305" s="2">
        <v>599</v>
      </c>
      <c r="C305" s="4">
        <v>135</v>
      </c>
      <c r="D305" s="5">
        <v>0.77</v>
      </c>
      <c r="E305" s="1" t="s">
        <v>22</v>
      </c>
      <c r="F305" s="1" t="s">
        <v>15</v>
      </c>
      <c r="G305" s="1" t="s">
        <v>64</v>
      </c>
      <c r="H305" s="1" t="s">
        <v>24</v>
      </c>
      <c r="I305" s="1" t="s">
        <v>539</v>
      </c>
      <c r="J305" s="1" t="s">
        <v>25</v>
      </c>
      <c r="K305" s="2">
        <v>1</v>
      </c>
      <c r="L305" s="1" t="s">
        <v>25</v>
      </c>
      <c r="M305" s="1" t="s">
        <v>26</v>
      </c>
    </row>
    <row r="306" spans="1:13" x14ac:dyDescent="0.3">
      <c r="A306" s="1" t="s">
        <v>430</v>
      </c>
      <c r="B306" s="2">
        <v>499</v>
      </c>
      <c r="C306" s="4">
        <v>127</v>
      </c>
      <c r="D306" s="5">
        <v>0.74</v>
      </c>
      <c r="E306" s="1" t="s">
        <v>14</v>
      </c>
      <c r="F306" s="1" t="s">
        <v>15</v>
      </c>
      <c r="G306" s="1" t="s">
        <v>36</v>
      </c>
      <c r="H306" s="1" t="s">
        <v>17</v>
      </c>
      <c r="I306" s="1" t="s">
        <v>539</v>
      </c>
      <c r="J306" s="1" t="s">
        <v>19</v>
      </c>
      <c r="K306" s="2">
        <v>1</v>
      </c>
      <c r="L306" s="1" t="s">
        <v>25</v>
      </c>
      <c r="M306" s="1" t="s">
        <v>39</v>
      </c>
    </row>
    <row r="307" spans="1:13" x14ac:dyDescent="0.3">
      <c r="A307" s="1" t="s">
        <v>431</v>
      </c>
      <c r="B307" s="2">
        <v>499</v>
      </c>
      <c r="C307" s="4">
        <v>127</v>
      </c>
      <c r="D307" s="5">
        <v>0.74</v>
      </c>
      <c r="E307" s="1" t="s">
        <v>22</v>
      </c>
      <c r="F307" s="1" t="s">
        <v>15</v>
      </c>
      <c r="G307" s="1" t="s">
        <v>28</v>
      </c>
      <c r="H307" s="1" t="s">
        <v>17</v>
      </c>
      <c r="I307" s="1" t="s">
        <v>539</v>
      </c>
      <c r="J307" s="1" t="s">
        <v>19</v>
      </c>
      <c r="K307" s="2">
        <v>1</v>
      </c>
      <c r="L307" s="1" t="s">
        <v>25</v>
      </c>
      <c r="M307" s="1" t="s">
        <v>345</v>
      </c>
    </row>
    <row r="308" spans="1:13" x14ac:dyDescent="0.3">
      <c r="A308" s="1" t="s">
        <v>432</v>
      </c>
      <c r="B308" s="2">
        <v>699</v>
      </c>
      <c r="C308" s="4">
        <v>125</v>
      </c>
      <c r="D308" s="5">
        <v>0.82</v>
      </c>
      <c r="E308" s="1" t="s">
        <v>22</v>
      </c>
      <c r="F308" s="1" t="s">
        <v>15</v>
      </c>
      <c r="G308" s="1" t="s">
        <v>64</v>
      </c>
      <c r="H308" s="1" t="s">
        <v>24</v>
      </c>
      <c r="I308" s="1" t="s">
        <v>18</v>
      </c>
      <c r="J308" s="1" t="s">
        <v>25</v>
      </c>
      <c r="K308" s="2">
        <v>2</v>
      </c>
      <c r="L308" s="1" t="s">
        <v>25</v>
      </c>
      <c r="M308" s="1" t="s">
        <v>433</v>
      </c>
    </row>
    <row r="309" spans="1:13" x14ac:dyDescent="0.3">
      <c r="A309" s="1" t="s">
        <v>434</v>
      </c>
      <c r="B309" s="2">
        <v>499</v>
      </c>
      <c r="C309" s="4">
        <v>163</v>
      </c>
      <c r="D309" s="5">
        <v>0.67</v>
      </c>
      <c r="E309" s="1" t="s">
        <v>22</v>
      </c>
      <c r="F309" s="1" t="s">
        <v>15</v>
      </c>
      <c r="G309" s="1" t="s">
        <v>16</v>
      </c>
      <c r="H309" s="1" t="s">
        <v>24</v>
      </c>
      <c r="I309" s="1" t="s">
        <v>539</v>
      </c>
      <c r="J309" s="1" t="s">
        <v>25</v>
      </c>
      <c r="K309" s="2">
        <v>0.5</v>
      </c>
      <c r="L309" s="1" t="s">
        <v>25</v>
      </c>
      <c r="M309" s="1" t="s">
        <v>171</v>
      </c>
    </row>
    <row r="310" spans="1:13" x14ac:dyDescent="0.3">
      <c r="A310" s="1" t="s">
        <v>435</v>
      </c>
      <c r="B310" s="2">
        <v>399</v>
      </c>
      <c r="C310" s="4">
        <v>128</v>
      </c>
      <c r="D310" s="5">
        <v>0.67</v>
      </c>
      <c r="E310" s="1" t="s">
        <v>22</v>
      </c>
      <c r="F310" s="1" t="s">
        <v>15</v>
      </c>
      <c r="G310" s="1" t="s">
        <v>23</v>
      </c>
      <c r="H310" s="1" t="s">
        <v>93</v>
      </c>
      <c r="I310" s="1" t="s">
        <v>18</v>
      </c>
      <c r="J310" s="1" t="s">
        <v>25</v>
      </c>
      <c r="K310" s="2">
        <v>1</v>
      </c>
      <c r="L310" s="1" t="s">
        <v>25</v>
      </c>
      <c r="M310" s="1" t="s">
        <v>436</v>
      </c>
    </row>
    <row r="311" spans="1:13" x14ac:dyDescent="0.3">
      <c r="A311" s="1" t="s">
        <v>437</v>
      </c>
      <c r="B311" s="2">
        <v>499</v>
      </c>
      <c r="C311" s="4">
        <v>139</v>
      </c>
      <c r="D311" s="5">
        <v>0.72</v>
      </c>
      <c r="E311" s="1" t="s">
        <v>22</v>
      </c>
      <c r="F311" s="1" t="s">
        <v>15</v>
      </c>
      <c r="G311" s="1" t="s">
        <v>16</v>
      </c>
      <c r="H311" s="1" t="s">
        <v>17</v>
      </c>
      <c r="I311" s="1" t="s">
        <v>539</v>
      </c>
      <c r="J311" s="1" t="s">
        <v>25</v>
      </c>
      <c r="K311" s="2">
        <v>1</v>
      </c>
      <c r="L311" s="1" t="s">
        <v>25</v>
      </c>
      <c r="M311" s="1" t="s">
        <v>438</v>
      </c>
    </row>
    <row r="312" spans="1:13" x14ac:dyDescent="0.3">
      <c r="A312" s="1" t="s">
        <v>439</v>
      </c>
      <c r="B312" s="2">
        <v>499</v>
      </c>
      <c r="C312" s="4">
        <v>155</v>
      </c>
      <c r="D312" s="5">
        <v>0.68</v>
      </c>
      <c r="E312" s="1" t="s">
        <v>22</v>
      </c>
      <c r="F312" s="1" t="s">
        <v>15</v>
      </c>
      <c r="G312" s="1" t="s">
        <v>64</v>
      </c>
      <c r="H312" s="1" t="s">
        <v>24</v>
      </c>
      <c r="I312" s="1" t="s">
        <v>539</v>
      </c>
      <c r="J312" s="1" t="s">
        <v>25</v>
      </c>
      <c r="K312" s="2">
        <v>1</v>
      </c>
      <c r="L312" s="1" t="s">
        <v>25</v>
      </c>
      <c r="M312" s="1" t="s">
        <v>26</v>
      </c>
    </row>
    <row r="313" spans="1:13" x14ac:dyDescent="0.3">
      <c r="A313" s="1" t="s">
        <v>440</v>
      </c>
      <c r="B313" s="2">
        <v>2999</v>
      </c>
      <c r="C313" s="4">
        <v>288</v>
      </c>
      <c r="D313" s="5">
        <v>0.9</v>
      </c>
      <c r="E313" s="1" t="s">
        <v>22</v>
      </c>
      <c r="F313" s="1" t="s">
        <v>15</v>
      </c>
      <c r="G313" s="1" t="s">
        <v>52</v>
      </c>
      <c r="H313" s="1" t="s">
        <v>24</v>
      </c>
      <c r="I313" s="1" t="s">
        <v>539</v>
      </c>
      <c r="J313" s="1" t="s">
        <v>19</v>
      </c>
      <c r="K313" s="2">
        <v>1</v>
      </c>
      <c r="L313" s="1" t="s">
        <v>25</v>
      </c>
      <c r="M313" s="1" t="s">
        <v>441</v>
      </c>
    </row>
    <row r="314" spans="1:13" x14ac:dyDescent="0.3">
      <c r="A314" s="1" t="s">
        <v>442</v>
      </c>
      <c r="B314" s="2">
        <v>498</v>
      </c>
      <c r="C314" s="4">
        <v>180</v>
      </c>
      <c r="D314" s="5">
        <v>0.63</v>
      </c>
      <c r="E314" s="1" t="s">
        <v>22</v>
      </c>
      <c r="F314" s="1" t="s">
        <v>15</v>
      </c>
      <c r="G314" s="1" t="s">
        <v>52</v>
      </c>
      <c r="H314" s="1" t="s">
        <v>17</v>
      </c>
      <c r="I314" s="1" t="s">
        <v>539</v>
      </c>
      <c r="J314" s="1" t="s">
        <v>25</v>
      </c>
      <c r="K314" s="2">
        <v>1</v>
      </c>
      <c r="L314" s="1" t="s">
        <v>25</v>
      </c>
      <c r="M314" s="1" t="s">
        <v>443</v>
      </c>
    </row>
    <row r="315" spans="1:13" x14ac:dyDescent="0.3">
      <c r="A315" s="1" t="s">
        <v>444</v>
      </c>
      <c r="B315" s="2">
        <v>299</v>
      </c>
      <c r="C315" s="4">
        <v>155</v>
      </c>
      <c r="D315" s="5">
        <v>0.48</v>
      </c>
      <c r="E315" s="1" t="s">
        <v>22</v>
      </c>
      <c r="F315" s="1" t="s">
        <v>15</v>
      </c>
      <c r="G315" s="1" t="s">
        <v>141</v>
      </c>
      <c r="H315" s="1" t="s">
        <v>24</v>
      </c>
      <c r="I315" s="1" t="s">
        <v>539</v>
      </c>
      <c r="J315" s="1" t="s">
        <v>19</v>
      </c>
      <c r="K315" s="2">
        <v>1</v>
      </c>
      <c r="L315" s="1" t="s">
        <v>19</v>
      </c>
      <c r="M315" s="1" t="s">
        <v>445</v>
      </c>
    </row>
    <row r="316" spans="1:13" x14ac:dyDescent="0.3">
      <c r="A316" s="1" t="s">
        <v>446</v>
      </c>
      <c r="B316" s="2">
        <v>299</v>
      </c>
      <c r="C316" s="4">
        <v>143</v>
      </c>
      <c r="D316" s="5">
        <v>0.52</v>
      </c>
      <c r="E316" s="1" t="s">
        <v>14</v>
      </c>
      <c r="F316" s="1" t="s">
        <v>15</v>
      </c>
      <c r="G316" s="1" t="s">
        <v>23</v>
      </c>
      <c r="H316" s="1" t="s">
        <v>17</v>
      </c>
      <c r="I316" s="1" t="s">
        <v>539</v>
      </c>
      <c r="J316" s="1" t="s">
        <v>19</v>
      </c>
      <c r="K316" s="2">
        <v>1</v>
      </c>
      <c r="L316" s="1" t="s">
        <v>25</v>
      </c>
      <c r="M316" s="1" t="s">
        <v>447</v>
      </c>
    </row>
    <row r="317" spans="1:13" x14ac:dyDescent="0.3">
      <c r="A317" s="1" t="s">
        <v>448</v>
      </c>
      <c r="B317" s="2">
        <v>570</v>
      </c>
      <c r="C317" s="4">
        <v>135</v>
      </c>
      <c r="D317" s="5">
        <v>0.76</v>
      </c>
      <c r="E317" s="1" t="s">
        <v>22</v>
      </c>
      <c r="F317" s="1" t="s">
        <v>15</v>
      </c>
      <c r="G317" s="1" t="s">
        <v>49</v>
      </c>
      <c r="H317" s="1" t="s">
        <v>24</v>
      </c>
      <c r="I317" s="1" t="s">
        <v>539</v>
      </c>
      <c r="J317" s="1" t="s">
        <v>25</v>
      </c>
      <c r="K317" s="2">
        <v>1</v>
      </c>
      <c r="L317" s="1" t="s">
        <v>25</v>
      </c>
      <c r="M317" s="1" t="s">
        <v>449</v>
      </c>
    </row>
    <row r="318" spans="1:13" x14ac:dyDescent="0.3">
      <c r="A318" s="1" t="s">
        <v>450</v>
      </c>
      <c r="B318" s="2">
        <v>599</v>
      </c>
      <c r="C318" s="4">
        <v>129</v>
      </c>
      <c r="D318" s="5">
        <v>0.78</v>
      </c>
      <c r="E318" s="1" t="s">
        <v>22</v>
      </c>
      <c r="F318" s="1" t="s">
        <v>15</v>
      </c>
      <c r="G318" s="1" t="s">
        <v>28</v>
      </c>
      <c r="H318" s="1" t="s">
        <v>24</v>
      </c>
      <c r="I318" s="1" t="s">
        <v>539</v>
      </c>
      <c r="J318" s="1" t="s">
        <v>25</v>
      </c>
      <c r="K318" s="2">
        <v>1</v>
      </c>
      <c r="L318" s="1" t="s">
        <v>25</v>
      </c>
      <c r="M318" s="1" t="s">
        <v>26</v>
      </c>
    </row>
    <row r="319" spans="1:13" x14ac:dyDescent="0.3">
      <c r="A319" s="1" t="s">
        <v>451</v>
      </c>
      <c r="B319" s="2">
        <v>599</v>
      </c>
      <c r="C319" s="4">
        <v>199</v>
      </c>
      <c r="D319" s="5">
        <v>0.66</v>
      </c>
      <c r="E319" s="1" t="s">
        <v>22</v>
      </c>
      <c r="F319" s="1" t="s">
        <v>15</v>
      </c>
      <c r="G319" s="1" t="s">
        <v>52</v>
      </c>
      <c r="H319" s="1" t="s">
        <v>24</v>
      </c>
      <c r="I319" s="1" t="s">
        <v>539</v>
      </c>
      <c r="J319" s="1" t="s">
        <v>25</v>
      </c>
      <c r="K319" s="2">
        <v>3</v>
      </c>
      <c r="L319" s="1" t="s">
        <v>25</v>
      </c>
      <c r="M319" s="1" t="s">
        <v>452</v>
      </c>
    </row>
    <row r="320" spans="1:13" x14ac:dyDescent="0.3">
      <c r="A320" s="1" t="s">
        <v>453</v>
      </c>
      <c r="B320" s="2">
        <v>399</v>
      </c>
      <c r="C320" s="4">
        <v>120</v>
      </c>
      <c r="D320" s="5">
        <v>0.69</v>
      </c>
      <c r="E320" s="1" t="s">
        <v>22</v>
      </c>
      <c r="F320" s="1" t="s">
        <v>15</v>
      </c>
      <c r="G320" s="1" t="s">
        <v>23</v>
      </c>
      <c r="H320" s="1" t="s">
        <v>24</v>
      </c>
      <c r="I320" s="8" t="s">
        <v>539</v>
      </c>
      <c r="J320" s="1" t="s">
        <v>25</v>
      </c>
      <c r="K320" s="2">
        <v>2</v>
      </c>
      <c r="L320" s="1" t="s">
        <v>25</v>
      </c>
      <c r="M320" s="1" t="s">
        <v>454</v>
      </c>
    </row>
    <row r="321" spans="1:13" x14ac:dyDescent="0.3">
      <c r="A321" s="1" t="s">
        <v>455</v>
      </c>
      <c r="B321" s="2">
        <v>659</v>
      </c>
      <c r="C321" s="4">
        <v>449</v>
      </c>
      <c r="D321" s="5">
        <v>0.31</v>
      </c>
      <c r="E321" s="1" t="s">
        <v>22</v>
      </c>
      <c r="F321" s="1" t="s">
        <v>15</v>
      </c>
      <c r="G321" s="1" t="s">
        <v>52</v>
      </c>
      <c r="H321" s="1" t="s">
        <v>24</v>
      </c>
      <c r="I321" s="1" t="s">
        <v>18</v>
      </c>
      <c r="J321" s="1" t="s">
        <v>25</v>
      </c>
      <c r="K321" s="2">
        <v>1</v>
      </c>
      <c r="L321" s="1" t="s">
        <v>25</v>
      </c>
      <c r="M321" s="1" t="s">
        <v>456</v>
      </c>
    </row>
    <row r="322" spans="1:13" x14ac:dyDescent="0.3">
      <c r="A322" s="1" t="s">
        <v>175</v>
      </c>
      <c r="B322" s="2">
        <v>499</v>
      </c>
      <c r="C322" s="4">
        <v>139</v>
      </c>
      <c r="D322" s="5">
        <v>0.72</v>
      </c>
      <c r="E322" s="1" t="s">
        <v>14</v>
      </c>
      <c r="F322" s="1" t="s">
        <v>15</v>
      </c>
      <c r="G322" s="1" t="s">
        <v>23</v>
      </c>
      <c r="H322" s="1" t="s">
        <v>24</v>
      </c>
      <c r="I322" s="1" t="s">
        <v>539</v>
      </c>
      <c r="J322" s="1" t="s">
        <v>25</v>
      </c>
      <c r="K322" s="2">
        <v>1</v>
      </c>
      <c r="L322" s="1" t="s">
        <v>25</v>
      </c>
      <c r="M322" s="1" t="s">
        <v>26</v>
      </c>
    </row>
    <row r="323" spans="1:13" x14ac:dyDescent="0.3">
      <c r="A323" s="1" t="s">
        <v>455</v>
      </c>
      <c r="B323" s="2">
        <v>659</v>
      </c>
      <c r="C323" s="4">
        <v>449</v>
      </c>
      <c r="D323" s="5">
        <v>0.31</v>
      </c>
      <c r="E323" s="1" t="s">
        <v>22</v>
      </c>
      <c r="F323" s="1" t="s">
        <v>15</v>
      </c>
      <c r="G323" s="1" t="s">
        <v>52</v>
      </c>
      <c r="H323" s="1" t="s">
        <v>24</v>
      </c>
      <c r="I323" s="1" t="s">
        <v>18</v>
      </c>
      <c r="J323" s="1" t="s">
        <v>25</v>
      </c>
      <c r="K323" s="2">
        <v>1</v>
      </c>
      <c r="L323" s="1" t="s">
        <v>25</v>
      </c>
      <c r="M323" s="1" t="s">
        <v>456</v>
      </c>
    </row>
    <row r="324" spans="1:13" x14ac:dyDescent="0.3">
      <c r="A324" s="1" t="s">
        <v>457</v>
      </c>
      <c r="B324" s="2">
        <v>294</v>
      </c>
      <c r="C324" s="4">
        <v>113</v>
      </c>
      <c r="D324" s="5">
        <v>0.61</v>
      </c>
      <c r="E324" s="1" t="s">
        <v>22</v>
      </c>
      <c r="F324" s="1" t="s">
        <v>15</v>
      </c>
      <c r="G324" s="1" t="s">
        <v>458</v>
      </c>
      <c r="H324" s="1" t="s">
        <v>17</v>
      </c>
      <c r="I324" s="1" t="s">
        <v>539</v>
      </c>
      <c r="J324" s="1" t="s">
        <v>19</v>
      </c>
      <c r="K324" s="2">
        <v>1</v>
      </c>
      <c r="L324" s="1" t="s">
        <v>25</v>
      </c>
      <c r="M324" s="1" t="s">
        <v>130</v>
      </c>
    </row>
    <row r="325" spans="1:13" x14ac:dyDescent="0.3">
      <c r="A325" s="1" t="s">
        <v>459</v>
      </c>
      <c r="B325" s="2">
        <v>399</v>
      </c>
      <c r="C325" s="4">
        <v>126</v>
      </c>
      <c r="D325" s="5">
        <v>0.68</v>
      </c>
      <c r="E325" s="1" t="s">
        <v>22</v>
      </c>
      <c r="F325" s="1" t="s">
        <v>15</v>
      </c>
      <c r="G325" s="1" t="s">
        <v>23</v>
      </c>
      <c r="H325" s="1" t="s">
        <v>17</v>
      </c>
      <c r="I325" s="1" t="s">
        <v>539</v>
      </c>
      <c r="J325" s="1" t="s">
        <v>25</v>
      </c>
      <c r="K325" s="2">
        <v>1</v>
      </c>
      <c r="L325" s="1" t="s">
        <v>25</v>
      </c>
      <c r="M325" s="1" t="s">
        <v>282</v>
      </c>
    </row>
    <row r="326" spans="1:13" x14ac:dyDescent="0.3">
      <c r="A326" s="1" t="s">
        <v>460</v>
      </c>
      <c r="B326" s="2">
        <v>399</v>
      </c>
      <c r="C326" s="4">
        <v>148</v>
      </c>
      <c r="D326" s="5">
        <v>0.62</v>
      </c>
      <c r="E326" s="1" t="s">
        <v>22</v>
      </c>
      <c r="F326" s="1" t="s">
        <v>15</v>
      </c>
      <c r="G326" s="1" t="s">
        <v>28</v>
      </c>
      <c r="H326" s="1" t="s">
        <v>93</v>
      </c>
      <c r="I326" s="1" t="s">
        <v>18</v>
      </c>
      <c r="J326" s="1" t="s">
        <v>25</v>
      </c>
      <c r="K326" s="2">
        <v>0.5</v>
      </c>
      <c r="L326" s="1" t="s">
        <v>25</v>
      </c>
      <c r="M326" s="1" t="s">
        <v>69</v>
      </c>
    </row>
    <row r="327" spans="1:13" x14ac:dyDescent="0.3">
      <c r="A327" s="1" t="s">
        <v>461</v>
      </c>
      <c r="B327" s="2">
        <v>379</v>
      </c>
      <c r="C327" s="4">
        <v>134</v>
      </c>
      <c r="D327" s="5">
        <v>0.64</v>
      </c>
      <c r="E327" s="1" t="s">
        <v>14</v>
      </c>
      <c r="F327" s="1" t="s">
        <v>15</v>
      </c>
      <c r="G327" s="1" t="s">
        <v>28</v>
      </c>
      <c r="H327" s="1" t="s">
        <v>17</v>
      </c>
      <c r="I327" s="1" t="s">
        <v>57</v>
      </c>
      <c r="J327" s="1" t="s">
        <v>19</v>
      </c>
      <c r="K327" s="2">
        <v>1</v>
      </c>
      <c r="L327" s="1" t="s">
        <v>25</v>
      </c>
      <c r="M327" s="1" t="s">
        <v>55</v>
      </c>
    </row>
    <row r="328" spans="1:13" x14ac:dyDescent="0.3">
      <c r="A328" s="1" t="s">
        <v>462</v>
      </c>
      <c r="B328" s="2">
        <v>549</v>
      </c>
      <c r="C328" s="4">
        <v>296</v>
      </c>
      <c r="D328" s="5">
        <v>0.46</v>
      </c>
      <c r="E328" s="1" t="s">
        <v>22</v>
      </c>
      <c r="F328" s="1" t="s">
        <v>15</v>
      </c>
      <c r="G328" s="1" t="s">
        <v>52</v>
      </c>
      <c r="H328" s="1" t="s">
        <v>17</v>
      </c>
      <c r="I328" s="1" t="s">
        <v>18</v>
      </c>
      <c r="J328" s="1" t="s">
        <v>25</v>
      </c>
      <c r="K328" s="2">
        <v>1</v>
      </c>
      <c r="L328" s="1" t="s">
        <v>25</v>
      </c>
      <c r="M328" s="1" t="s">
        <v>456</v>
      </c>
    </row>
    <row r="329" spans="1:13" x14ac:dyDescent="0.3">
      <c r="A329" s="1" t="s">
        <v>463</v>
      </c>
      <c r="B329" s="2">
        <v>399</v>
      </c>
      <c r="C329" s="4">
        <v>126</v>
      </c>
      <c r="D329" s="5">
        <v>0.68</v>
      </c>
      <c r="E329" s="1" t="s">
        <v>22</v>
      </c>
      <c r="F329" s="1" t="s">
        <v>15</v>
      </c>
      <c r="G329" s="1" t="s">
        <v>36</v>
      </c>
      <c r="H329" s="1" t="s">
        <v>17</v>
      </c>
      <c r="I329" s="1" t="s">
        <v>539</v>
      </c>
      <c r="J329" s="1" t="s">
        <v>25</v>
      </c>
      <c r="K329" s="2">
        <v>0.6</v>
      </c>
      <c r="L329" s="1" t="s">
        <v>25</v>
      </c>
      <c r="M329" s="1" t="s">
        <v>26</v>
      </c>
    </row>
    <row r="330" spans="1:13" x14ac:dyDescent="0.3">
      <c r="A330" s="1" t="s">
        <v>464</v>
      </c>
      <c r="B330" s="2">
        <v>1599</v>
      </c>
      <c r="C330" s="4">
        <v>452</v>
      </c>
      <c r="D330" s="5">
        <v>0.71</v>
      </c>
      <c r="E330" s="1" t="s">
        <v>22</v>
      </c>
      <c r="F330" s="1" t="s">
        <v>15</v>
      </c>
      <c r="G330" s="1" t="s">
        <v>52</v>
      </c>
      <c r="H330" s="1" t="s">
        <v>24</v>
      </c>
      <c r="I330" s="1" t="s">
        <v>18</v>
      </c>
      <c r="J330" s="1" t="s">
        <v>19</v>
      </c>
      <c r="K330" s="2">
        <v>2</v>
      </c>
      <c r="L330" s="1" t="s">
        <v>19</v>
      </c>
      <c r="M330" s="1" t="s">
        <v>361</v>
      </c>
    </row>
    <row r="331" spans="1:13" x14ac:dyDescent="0.3">
      <c r="A331" s="1" t="s">
        <v>465</v>
      </c>
      <c r="B331" s="2">
        <v>359</v>
      </c>
      <c r="C331" s="4">
        <v>130</v>
      </c>
      <c r="D331" s="5">
        <v>0.63</v>
      </c>
      <c r="E331" s="1" t="s">
        <v>14</v>
      </c>
      <c r="F331" s="1" t="s">
        <v>15</v>
      </c>
      <c r="G331" s="1" t="s">
        <v>28</v>
      </c>
      <c r="H331" s="1" t="s">
        <v>93</v>
      </c>
      <c r="I331" s="1" t="s">
        <v>539</v>
      </c>
      <c r="J331" s="1" t="s">
        <v>19</v>
      </c>
      <c r="K331" s="2">
        <v>0.3</v>
      </c>
      <c r="L331" s="1" t="s">
        <v>25</v>
      </c>
      <c r="M331" s="1" t="s">
        <v>466</v>
      </c>
    </row>
    <row r="332" spans="1:13" x14ac:dyDescent="0.3">
      <c r="A332" s="1" t="s">
        <v>467</v>
      </c>
      <c r="B332" s="2">
        <v>499</v>
      </c>
      <c r="C332" s="4">
        <v>122</v>
      </c>
      <c r="D332" s="5">
        <v>0.75</v>
      </c>
      <c r="E332" s="1" t="s">
        <v>22</v>
      </c>
      <c r="F332" s="1" t="s">
        <v>15</v>
      </c>
      <c r="G332" s="1" t="s">
        <v>36</v>
      </c>
      <c r="H332" s="1" t="s">
        <v>17</v>
      </c>
      <c r="I332" s="1" t="s">
        <v>539</v>
      </c>
      <c r="J332" s="1" t="s">
        <v>19</v>
      </c>
      <c r="K332" s="2">
        <v>1</v>
      </c>
      <c r="L332" s="1" t="s">
        <v>25</v>
      </c>
      <c r="M332" s="1" t="s">
        <v>39</v>
      </c>
    </row>
    <row r="333" spans="1:13" x14ac:dyDescent="0.3">
      <c r="A333" s="1" t="s">
        <v>468</v>
      </c>
      <c r="B333" s="2">
        <v>499</v>
      </c>
      <c r="C333" s="4">
        <v>135</v>
      </c>
      <c r="D333" s="5">
        <v>0.72</v>
      </c>
      <c r="E333" s="1" t="s">
        <v>22</v>
      </c>
      <c r="F333" s="1" t="s">
        <v>15</v>
      </c>
      <c r="G333" s="1" t="s">
        <v>36</v>
      </c>
      <c r="H333" s="1" t="s">
        <v>24</v>
      </c>
      <c r="I333" s="1" t="s">
        <v>539</v>
      </c>
      <c r="J333" s="1" t="s">
        <v>25</v>
      </c>
      <c r="K333" s="2">
        <v>1</v>
      </c>
      <c r="L333" s="1" t="s">
        <v>25</v>
      </c>
      <c r="M333" s="1" t="s">
        <v>238</v>
      </c>
    </row>
    <row r="334" spans="1:13" x14ac:dyDescent="0.3">
      <c r="A334" s="1" t="s">
        <v>469</v>
      </c>
      <c r="B334" s="2">
        <v>299</v>
      </c>
      <c r="C334" s="4">
        <v>125</v>
      </c>
      <c r="D334" s="5">
        <v>0.57999999999999996</v>
      </c>
      <c r="E334" s="1" t="s">
        <v>22</v>
      </c>
      <c r="F334" s="1" t="s">
        <v>15</v>
      </c>
      <c r="G334" s="1" t="s">
        <v>23</v>
      </c>
      <c r="H334" s="1" t="s">
        <v>17</v>
      </c>
      <c r="I334" s="1" t="s">
        <v>539</v>
      </c>
      <c r="J334" s="1" t="s">
        <v>25</v>
      </c>
      <c r="K334" s="2">
        <v>1</v>
      </c>
      <c r="L334" s="1" t="s">
        <v>25</v>
      </c>
      <c r="M334" s="1" t="s">
        <v>470</v>
      </c>
    </row>
    <row r="335" spans="1:13" x14ac:dyDescent="0.3">
      <c r="A335" s="1" t="s">
        <v>471</v>
      </c>
      <c r="B335" s="2">
        <v>363</v>
      </c>
      <c r="C335" s="4">
        <v>120</v>
      </c>
      <c r="D335" s="5">
        <v>0.66</v>
      </c>
      <c r="E335" s="1" t="s">
        <v>22</v>
      </c>
      <c r="F335" s="1" t="s">
        <v>15</v>
      </c>
      <c r="G335" s="1" t="s">
        <v>23</v>
      </c>
      <c r="H335" s="1" t="s">
        <v>24</v>
      </c>
      <c r="I335" s="1" t="s">
        <v>539</v>
      </c>
      <c r="J335" s="1" t="s">
        <v>25</v>
      </c>
      <c r="K335" s="2">
        <v>1</v>
      </c>
      <c r="L335" s="1" t="s">
        <v>25</v>
      </c>
      <c r="M335" s="1" t="s">
        <v>472</v>
      </c>
    </row>
    <row r="336" spans="1:13" x14ac:dyDescent="0.3">
      <c r="A336" s="1" t="s">
        <v>473</v>
      </c>
      <c r="B336" s="2">
        <v>399</v>
      </c>
      <c r="C336" s="4">
        <v>199</v>
      </c>
      <c r="D336" s="5">
        <v>0.5</v>
      </c>
      <c r="E336" s="1" t="s">
        <v>22</v>
      </c>
      <c r="F336" s="1" t="s">
        <v>15</v>
      </c>
      <c r="G336" s="1" t="s">
        <v>28</v>
      </c>
      <c r="H336" s="1" t="s">
        <v>17</v>
      </c>
      <c r="I336" s="1" t="s">
        <v>539</v>
      </c>
      <c r="J336" s="1" t="s">
        <v>19</v>
      </c>
      <c r="K336" s="2">
        <v>1</v>
      </c>
      <c r="L336" s="1" t="s">
        <v>25</v>
      </c>
      <c r="M336" s="1" t="s">
        <v>200</v>
      </c>
    </row>
    <row r="337" spans="1:13" x14ac:dyDescent="0.3">
      <c r="A337" s="1" t="s">
        <v>474</v>
      </c>
      <c r="B337" s="2">
        <v>699</v>
      </c>
      <c r="C337" s="4">
        <v>120</v>
      </c>
      <c r="D337" s="5">
        <v>0.82</v>
      </c>
      <c r="E337" s="1" t="s">
        <v>22</v>
      </c>
      <c r="F337" s="1" t="s">
        <v>15</v>
      </c>
      <c r="G337" s="1" t="s">
        <v>23</v>
      </c>
      <c r="H337" s="1" t="s">
        <v>17</v>
      </c>
      <c r="I337" s="1" t="s">
        <v>539</v>
      </c>
      <c r="J337" s="1" t="s">
        <v>19</v>
      </c>
      <c r="K337" s="2">
        <v>1</v>
      </c>
      <c r="L337" s="1" t="s">
        <v>25</v>
      </c>
      <c r="M337" s="1" t="s">
        <v>475</v>
      </c>
    </row>
    <row r="338" spans="1:13" x14ac:dyDescent="0.3">
      <c r="A338" s="1" t="s">
        <v>476</v>
      </c>
      <c r="B338" s="2">
        <v>499</v>
      </c>
      <c r="C338" s="4">
        <v>121</v>
      </c>
      <c r="D338" s="5">
        <v>0.75</v>
      </c>
      <c r="E338" s="1" t="s">
        <v>22</v>
      </c>
      <c r="F338" s="1" t="s">
        <v>15</v>
      </c>
      <c r="G338" s="1" t="s">
        <v>16</v>
      </c>
      <c r="H338" s="1" t="s">
        <v>93</v>
      </c>
      <c r="I338" s="1" t="s">
        <v>18</v>
      </c>
      <c r="J338" s="1" t="s">
        <v>19</v>
      </c>
      <c r="K338" s="2">
        <v>1</v>
      </c>
      <c r="L338" s="1" t="s">
        <v>19</v>
      </c>
      <c r="M338" s="1" t="s">
        <v>132</v>
      </c>
    </row>
    <row r="339" spans="1:13" x14ac:dyDescent="0.3">
      <c r="A339" s="1" t="s">
        <v>477</v>
      </c>
      <c r="B339" s="2">
        <v>549</v>
      </c>
      <c r="C339" s="4">
        <v>135</v>
      </c>
      <c r="D339" s="5">
        <v>0.75</v>
      </c>
      <c r="E339" s="1" t="s">
        <v>22</v>
      </c>
      <c r="F339" s="1" t="s">
        <v>15</v>
      </c>
      <c r="G339" s="1" t="s">
        <v>23</v>
      </c>
      <c r="H339" s="1" t="s">
        <v>93</v>
      </c>
      <c r="I339" s="1" t="s">
        <v>539</v>
      </c>
      <c r="J339" s="1" t="s">
        <v>25</v>
      </c>
      <c r="K339" s="2">
        <v>1</v>
      </c>
      <c r="L339" s="1" t="s">
        <v>25</v>
      </c>
      <c r="M339" s="1" t="s">
        <v>478</v>
      </c>
    </row>
    <row r="340" spans="1:13" x14ac:dyDescent="0.3">
      <c r="A340" s="1" t="s">
        <v>479</v>
      </c>
      <c r="B340" s="2">
        <v>999</v>
      </c>
      <c r="C340" s="4">
        <v>149</v>
      </c>
      <c r="D340" s="5">
        <v>0.85</v>
      </c>
      <c r="E340" s="1" t="s">
        <v>14</v>
      </c>
      <c r="F340" s="1" t="s">
        <v>15</v>
      </c>
      <c r="G340" s="1" t="s">
        <v>28</v>
      </c>
      <c r="H340" s="1" t="s">
        <v>24</v>
      </c>
      <c r="I340" s="1" t="s">
        <v>539</v>
      </c>
      <c r="J340" s="1" t="s">
        <v>19</v>
      </c>
      <c r="K340" s="2">
        <v>1</v>
      </c>
      <c r="L340" s="1" t="s">
        <v>19</v>
      </c>
      <c r="M340" s="1" t="s">
        <v>480</v>
      </c>
    </row>
    <row r="341" spans="1:13" x14ac:dyDescent="0.3">
      <c r="A341" s="1" t="s">
        <v>481</v>
      </c>
      <c r="B341" s="2">
        <v>399</v>
      </c>
      <c r="C341" s="4">
        <v>118</v>
      </c>
      <c r="D341" s="5">
        <v>0.7</v>
      </c>
      <c r="E341" s="1" t="s">
        <v>14</v>
      </c>
      <c r="F341" s="1" t="s">
        <v>15</v>
      </c>
      <c r="G341" s="1" t="s">
        <v>23</v>
      </c>
      <c r="H341" s="1" t="s">
        <v>24</v>
      </c>
      <c r="I341" s="1" t="s">
        <v>539</v>
      </c>
      <c r="J341" s="1" t="s">
        <v>19</v>
      </c>
      <c r="K341" s="2">
        <v>1</v>
      </c>
      <c r="L341" s="1" t="s">
        <v>25</v>
      </c>
      <c r="M341" s="1" t="s">
        <v>482</v>
      </c>
    </row>
    <row r="342" spans="1:13" x14ac:dyDescent="0.3">
      <c r="A342" s="1" t="s">
        <v>483</v>
      </c>
      <c r="B342" s="2">
        <v>599</v>
      </c>
      <c r="C342" s="4">
        <v>122</v>
      </c>
      <c r="D342" s="5">
        <v>0.79</v>
      </c>
      <c r="E342" s="1" t="s">
        <v>22</v>
      </c>
      <c r="F342" s="1" t="s">
        <v>15</v>
      </c>
      <c r="G342" s="1" t="s">
        <v>36</v>
      </c>
      <c r="H342" s="1" t="s">
        <v>24</v>
      </c>
      <c r="I342" s="1" t="s">
        <v>539</v>
      </c>
      <c r="J342" s="1" t="s">
        <v>19</v>
      </c>
      <c r="K342" s="2">
        <v>1</v>
      </c>
      <c r="L342" s="1" t="s">
        <v>25</v>
      </c>
      <c r="M342" s="1" t="s">
        <v>110</v>
      </c>
    </row>
    <row r="343" spans="1:13" x14ac:dyDescent="0.3">
      <c r="A343" s="1" t="s">
        <v>484</v>
      </c>
      <c r="B343" s="2">
        <v>599</v>
      </c>
      <c r="C343" s="4">
        <v>115</v>
      </c>
      <c r="D343" s="5">
        <v>0.8</v>
      </c>
      <c r="E343" s="1" t="s">
        <v>22</v>
      </c>
      <c r="F343" s="1" t="s">
        <v>15</v>
      </c>
      <c r="G343" s="1" t="s">
        <v>23</v>
      </c>
      <c r="H343" s="1" t="s">
        <v>24</v>
      </c>
      <c r="I343" s="1" t="s">
        <v>539</v>
      </c>
      <c r="J343" s="1" t="s">
        <v>25</v>
      </c>
      <c r="K343" s="2">
        <v>1</v>
      </c>
      <c r="L343" s="1" t="s">
        <v>25</v>
      </c>
      <c r="M343" s="1" t="s">
        <v>26</v>
      </c>
    </row>
    <row r="344" spans="1:13" x14ac:dyDescent="0.3">
      <c r="A344" s="1" t="s">
        <v>485</v>
      </c>
      <c r="B344" s="2">
        <v>418</v>
      </c>
      <c r="C344" s="4">
        <v>109</v>
      </c>
      <c r="D344" s="5">
        <v>0.73</v>
      </c>
      <c r="E344" s="1" t="s">
        <v>22</v>
      </c>
      <c r="F344" s="1" t="s">
        <v>15</v>
      </c>
      <c r="G344" s="1" t="s">
        <v>28</v>
      </c>
      <c r="H344" s="1" t="s">
        <v>24</v>
      </c>
      <c r="I344" s="1" t="s">
        <v>539</v>
      </c>
      <c r="J344" s="1" t="s">
        <v>19</v>
      </c>
      <c r="K344" s="2">
        <v>1</v>
      </c>
      <c r="L344" s="1" t="s">
        <v>25</v>
      </c>
      <c r="M344" s="1" t="s">
        <v>41</v>
      </c>
    </row>
    <row r="345" spans="1:13" x14ac:dyDescent="0.3">
      <c r="A345" s="1" t="s">
        <v>211</v>
      </c>
      <c r="B345" s="2">
        <v>599</v>
      </c>
      <c r="C345" s="4">
        <v>122</v>
      </c>
      <c r="D345" s="5">
        <v>0.79</v>
      </c>
      <c r="E345" s="1" t="s">
        <v>22</v>
      </c>
      <c r="F345" s="1" t="s">
        <v>15</v>
      </c>
      <c r="G345" s="1" t="s">
        <v>28</v>
      </c>
      <c r="H345" s="1" t="s">
        <v>24</v>
      </c>
      <c r="I345" s="1" t="s">
        <v>539</v>
      </c>
      <c r="J345" s="1" t="s">
        <v>25</v>
      </c>
      <c r="K345" s="2">
        <v>1</v>
      </c>
      <c r="L345" s="1" t="s">
        <v>25</v>
      </c>
      <c r="M345" s="1" t="s">
        <v>26</v>
      </c>
    </row>
    <row r="346" spans="1:13" x14ac:dyDescent="0.3">
      <c r="A346" s="1" t="s">
        <v>486</v>
      </c>
      <c r="B346" s="2">
        <v>590</v>
      </c>
      <c r="C346" s="4">
        <v>162</v>
      </c>
      <c r="D346" s="5">
        <v>0.72</v>
      </c>
      <c r="E346" s="1" t="s">
        <v>22</v>
      </c>
      <c r="F346" s="1" t="s">
        <v>15</v>
      </c>
      <c r="G346" s="1" t="s">
        <v>49</v>
      </c>
      <c r="H346" s="1" t="s">
        <v>24</v>
      </c>
      <c r="I346" s="1" t="s">
        <v>539</v>
      </c>
      <c r="J346" s="1" t="s">
        <v>25</v>
      </c>
      <c r="K346" s="2">
        <v>1</v>
      </c>
      <c r="L346" s="1" t="s">
        <v>25</v>
      </c>
      <c r="M346" s="1" t="s">
        <v>487</v>
      </c>
    </row>
    <row r="347" spans="1:13" x14ac:dyDescent="0.3">
      <c r="A347" s="1" t="s">
        <v>488</v>
      </c>
      <c r="B347" s="2">
        <v>598</v>
      </c>
      <c r="C347" s="4">
        <v>138</v>
      </c>
      <c r="D347" s="5">
        <v>0.76</v>
      </c>
      <c r="E347" s="1" t="s">
        <v>22</v>
      </c>
      <c r="F347" s="1" t="s">
        <v>15</v>
      </c>
      <c r="G347" s="1" t="s">
        <v>28</v>
      </c>
      <c r="H347" s="1" t="s">
        <v>24</v>
      </c>
      <c r="I347" s="1" t="s">
        <v>539</v>
      </c>
      <c r="J347" s="1" t="s">
        <v>25</v>
      </c>
      <c r="K347" s="2">
        <v>1</v>
      </c>
      <c r="L347" s="1" t="s">
        <v>25</v>
      </c>
      <c r="M347" s="1" t="s">
        <v>26</v>
      </c>
    </row>
    <row r="348" spans="1:13" x14ac:dyDescent="0.3">
      <c r="A348" s="1" t="s">
        <v>489</v>
      </c>
      <c r="B348" s="2">
        <v>399</v>
      </c>
      <c r="C348" s="4">
        <v>136</v>
      </c>
      <c r="D348" s="5">
        <v>0.65</v>
      </c>
      <c r="E348" s="1" t="s">
        <v>22</v>
      </c>
      <c r="F348" s="1" t="s">
        <v>15</v>
      </c>
      <c r="G348" s="1" t="s">
        <v>36</v>
      </c>
      <c r="H348" s="1" t="s">
        <v>17</v>
      </c>
      <c r="I348" s="1" t="s">
        <v>539</v>
      </c>
      <c r="J348" s="1" t="s">
        <v>19</v>
      </c>
      <c r="K348" s="2">
        <v>1</v>
      </c>
      <c r="L348" s="1" t="s">
        <v>25</v>
      </c>
      <c r="M348" s="1" t="s">
        <v>44</v>
      </c>
    </row>
    <row r="349" spans="1:13" x14ac:dyDescent="0.3">
      <c r="A349" s="1" t="s">
        <v>490</v>
      </c>
      <c r="B349" s="2">
        <v>799</v>
      </c>
      <c r="C349" s="4">
        <v>399</v>
      </c>
      <c r="D349" s="5">
        <v>0.5</v>
      </c>
      <c r="E349" s="1" t="s">
        <v>22</v>
      </c>
      <c r="F349" s="1" t="s">
        <v>15</v>
      </c>
      <c r="G349" s="1" t="s">
        <v>23</v>
      </c>
      <c r="H349" s="1" t="s">
        <v>17</v>
      </c>
      <c r="I349" s="1" t="s">
        <v>539</v>
      </c>
      <c r="J349" s="1" t="s">
        <v>19</v>
      </c>
      <c r="K349" s="2">
        <v>1</v>
      </c>
      <c r="L349" s="1" t="s">
        <v>25</v>
      </c>
      <c r="M349" s="1" t="s">
        <v>168</v>
      </c>
    </row>
    <row r="350" spans="1:13" x14ac:dyDescent="0.3">
      <c r="A350" s="1" t="s">
        <v>491</v>
      </c>
      <c r="B350" s="2">
        <v>259</v>
      </c>
      <c r="C350" s="4">
        <v>199</v>
      </c>
      <c r="D350" s="5">
        <v>0.23</v>
      </c>
      <c r="E350" s="1" t="s">
        <v>22</v>
      </c>
      <c r="F350" s="1" t="s">
        <v>15</v>
      </c>
      <c r="G350" s="1" t="s">
        <v>23</v>
      </c>
      <c r="H350" s="1" t="s">
        <v>24</v>
      </c>
      <c r="I350" s="1" t="s">
        <v>539</v>
      </c>
      <c r="J350" s="1" t="s">
        <v>25</v>
      </c>
      <c r="K350" s="2">
        <v>1</v>
      </c>
      <c r="L350" s="1" t="s">
        <v>25</v>
      </c>
      <c r="M350" s="1" t="s">
        <v>308</v>
      </c>
    </row>
    <row r="351" spans="1:13" x14ac:dyDescent="0.3">
      <c r="A351" s="1" t="s">
        <v>492</v>
      </c>
      <c r="B351" s="2">
        <v>599</v>
      </c>
      <c r="C351" s="4">
        <v>127</v>
      </c>
      <c r="D351" s="5">
        <v>0.78</v>
      </c>
      <c r="E351" s="1" t="s">
        <v>22</v>
      </c>
      <c r="F351" s="1" t="s">
        <v>15</v>
      </c>
      <c r="G351" s="1" t="s">
        <v>23</v>
      </c>
      <c r="H351" s="1" t="s">
        <v>24</v>
      </c>
      <c r="I351" s="1" t="s">
        <v>539</v>
      </c>
      <c r="J351" s="1" t="s">
        <v>25</v>
      </c>
      <c r="K351" s="2">
        <v>1</v>
      </c>
      <c r="L351" s="1" t="s">
        <v>25</v>
      </c>
      <c r="M351" s="1" t="s">
        <v>26</v>
      </c>
    </row>
    <row r="352" spans="1:13" x14ac:dyDescent="0.3">
      <c r="A352" s="1" t="s">
        <v>493</v>
      </c>
      <c r="B352" s="2">
        <v>499</v>
      </c>
      <c r="C352" s="4">
        <v>242</v>
      </c>
      <c r="D352" s="5">
        <v>0.51</v>
      </c>
      <c r="E352" s="1" t="s">
        <v>22</v>
      </c>
      <c r="F352" s="1" t="s">
        <v>15</v>
      </c>
      <c r="G352" s="1" t="s">
        <v>52</v>
      </c>
      <c r="H352" s="1" t="s">
        <v>24</v>
      </c>
      <c r="I352" s="1" t="s">
        <v>539</v>
      </c>
      <c r="J352" s="1" t="s">
        <v>25</v>
      </c>
      <c r="K352" s="2">
        <v>10</v>
      </c>
      <c r="L352" s="1" t="s">
        <v>25</v>
      </c>
      <c r="M352" s="1" t="s">
        <v>494</v>
      </c>
    </row>
    <row r="353" spans="1:13" x14ac:dyDescent="0.3">
      <c r="A353" s="1" t="s">
        <v>495</v>
      </c>
      <c r="B353" s="2">
        <v>599</v>
      </c>
      <c r="C353" s="4">
        <v>128</v>
      </c>
      <c r="D353" s="5">
        <v>0.78</v>
      </c>
      <c r="E353" s="1" t="s">
        <v>14</v>
      </c>
      <c r="F353" s="1" t="s">
        <v>15</v>
      </c>
      <c r="G353" s="1" t="s">
        <v>28</v>
      </c>
      <c r="H353" s="1" t="s">
        <v>24</v>
      </c>
      <c r="I353" s="1" t="s">
        <v>18</v>
      </c>
      <c r="J353" s="1" t="s">
        <v>19</v>
      </c>
      <c r="K353" s="2">
        <v>1</v>
      </c>
      <c r="L353" s="1" t="s">
        <v>25</v>
      </c>
      <c r="M353" s="1" t="s">
        <v>496</v>
      </c>
    </row>
    <row r="354" spans="1:13" x14ac:dyDescent="0.3">
      <c r="A354" s="1" t="s">
        <v>497</v>
      </c>
      <c r="B354" s="2">
        <v>599</v>
      </c>
      <c r="C354" s="4">
        <v>134</v>
      </c>
      <c r="D354" s="5">
        <v>0.77</v>
      </c>
      <c r="E354" s="1" t="s">
        <v>22</v>
      </c>
      <c r="F354" s="1" t="s">
        <v>15</v>
      </c>
      <c r="G354" s="1" t="s">
        <v>46</v>
      </c>
      <c r="H354" s="1" t="s">
        <v>17</v>
      </c>
      <c r="I354" s="1" t="s">
        <v>18</v>
      </c>
      <c r="J354" s="1" t="s">
        <v>19</v>
      </c>
      <c r="K354" s="2">
        <v>1</v>
      </c>
      <c r="L354" s="1" t="s">
        <v>25</v>
      </c>
      <c r="M354" s="1" t="s">
        <v>498</v>
      </c>
    </row>
    <row r="355" spans="1:13" x14ac:dyDescent="0.3">
      <c r="A355" s="1" t="s">
        <v>499</v>
      </c>
      <c r="B355" s="2">
        <v>599</v>
      </c>
      <c r="C355" s="4">
        <v>126</v>
      </c>
      <c r="D355" s="5">
        <v>0.78</v>
      </c>
      <c r="E355" s="1" t="s">
        <v>22</v>
      </c>
      <c r="F355" s="1" t="s">
        <v>15</v>
      </c>
      <c r="G355" s="1" t="s">
        <v>23</v>
      </c>
      <c r="H355" s="1" t="s">
        <v>24</v>
      </c>
      <c r="I355" s="1" t="s">
        <v>539</v>
      </c>
      <c r="J355" s="1" t="s">
        <v>25</v>
      </c>
      <c r="K355" s="2">
        <v>1</v>
      </c>
      <c r="L355" s="1" t="s">
        <v>25</v>
      </c>
      <c r="M355" s="1" t="s">
        <v>26</v>
      </c>
    </row>
    <row r="356" spans="1:13" x14ac:dyDescent="0.3">
      <c r="A356" s="1" t="s">
        <v>500</v>
      </c>
      <c r="B356" s="2">
        <v>349</v>
      </c>
      <c r="C356" s="4">
        <v>199</v>
      </c>
      <c r="D356" s="5">
        <v>0.42</v>
      </c>
      <c r="E356" s="1" t="s">
        <v>22</v>
      </c>
      <c r="F356" s="1" t="s">
        <v>15</v>
      </c>
      <c r="G356" s="1" t="s">
        <v>105</v>
      </c>
      <c r="H356" s="1" t="s">
        <v>24</v>
      </c>
      <c r="I356" s="1" t="s">
        <v>18</v>
      </c>
      <c r="J356" s="1" t="s">
        <v>19</v>
      </c>
      <c r="K356" s="2">
        <v>1</v>
      </c>
      <c r="L356" s="1" t="s">
        <v>19</v>
      </c>
      <c r="M356" s="1" t="s">
        <v>53</v>
      </c>
    </row>
    <row r="357" spans="1:13" x14ac:dyDescent="0.3">
      <c r="A357" s="1" t="s">
        <v>501</v>
      </c>
      <c r="B357" s="2">
        <v>299</v>
      </c>
      <c r="C357" s="4">
        <v>170</v>
      </c>
      <c r="D357" s="5">
        <v>0.43</v>
      </c>
      <c r="E357" s="1" t="s">
        <v>22</v>
      </c>
      <c r="F357" s="1" t="s">
        <v>15</v>
      </c>
      <c r="G357" s="1" t="s">
        <v>52</v>
      </c>
      <c r="H357" s="1" t="s">
        <v>24</v>
      </c>
      <c r="I357" s="1" t="s">
        <v>18</v>
      </c>
      <c r="J357" s="1" t="s">
        <v>25</v>
      </c>
      <c r="K357" s="2">
        <v>12</v>
      </c>
      <c r="L357" s="1" t="s">
        <v>25</v>
      </c>
      <c r="M357" s="1" t="s">
        <v>502</v>
      </c>
    </row>
    <row r="358" spans="1:13" x14ac:dyDescent="0.3">
      <c r="A358" s="1" t="s">
        <v>503</v>
      </c>
      <c r="B358" s="2">
        <v>299</v>
      </c>
      <c r="C358" s="4">
        <v>142</v>
      </c>
      <c r="D358" s="5">
        <v>0.52</v>
      </c>
      <c r="E358" s="1" t="s">
        <v>22</v>
      </c>
      <c r="F358" s="1" t="s">
        <v>15</v>
      </c>
      <c r="G358" s="1" t="s">
        <v>64</v>
      </c>
      <c r="H358" s="1" t="s">
        <v>17</v>
      </c>
      <c r="I358" s="1" t="s">
        <v>539</v>
      </c>
      <c r="J358" s="1" t="s">
        <v>19</v>
      </c>
      <c r="K358" s="2">
        <v>1</v>
      </c>
      <c r="L358" s="1" t="s">
        <v>25</v>
      </c>
      <c r="M358" s="1" t="s">
        <v>504</v>
      </c>
    </row>
    <row r="359" spans="1:13" x14ac:dyDescent="0.3">
      <c r="A359" s="1" t="s">
        <v>505</v>
      </c>
      <c r="B359" s="2">
        <v>600</v>
      </c>
      <c r="C359" s="4">
        <v>121</v>
      </c>
      <c r="D359" s="5">
        <v>0.79</v>
      </c>
      <c r="E359" s="1" t="s">
        <v>22</v>
      </c>
      <c r="F359" s="1" t="s">
        <v>15</v>
      </c>
      <c r="G359" s="1" t="s">
        <v>23</v>
      </c>
      <c r="H359" s="1" t="s">
        <v>24</v>
      </c>
      <c r="I359" s="1" t="s">
        <v>539</v>
      </c>
      <c r="J359" s="1" t="s">
        <v>25</v>
      </c>
      <c r="K359" s="2">
        <v>1</v>
      </c>
      <c r="L359" s="1" t="s">
        <v>25</v>
      </c>
      <c r="M359" s="1" t="s">
        <v>191</v>
      </c>
    </row>
    <row r="360" spans="1:13" x14ac:dyDescent="0.3">
      <c r="A360" s="1" t="s">
        <v>383</v>
      </c>
      <c r="B360" s="2">
        <v>595</v>
      </c>
      <c r="C360" s="4">
        <v>137</v>
      </c>
      <c r="D360" s="5">
        <v>0.76</v>
      </c>
      <c r="E360" s="1" t="s">
        <v>22</v>
      </c>
      <c r="F360" s="1" t="s">
        <v>15</v>
      </c>
      <c r="G360" s="1" t="s">
        <v>23</v>
      </c>
      <c r="H360" s="1" t="s">
        <v>17</v>
      </c>
      <c r="I360" s="1" t="s">
        <v>539</v>
      </c>
      <c r="J360" s="1" t="s">
        <v>19</v>
      </c>
      <c r="K360" s="2">
        <v>1</v>
      </c>
      <c r="L360" s="1" t="s">
        <v>25</v>
      </c>
      <c r="M360" s="1" t="s">
        <v>384</v>
      </c>
    </row>
    <row r="361" spans="1:13" x14ac:dyDescent="0.3">
      <c r="A361" s="1" t="s">
        <v>506</v>
      </c>
      <c r="B361" s="2">
        <v>349</v>
      </c>
      <c r="C361" s="4">
        <v>199</v>
      </c>
      <c r="D361" s="5">
        <v>0.42</v>
      </c>
      <c r="E361" s="1" t="s">
        <v>22</v>
      </c>
      <c r="F361" s="1" t="s">
        <v>15</v>
      </c>
      <c r="G361" s="1" t="s">
        <v>105</v>
      </c>
      <c r="H361" s="1" t="s">
        <v>24</v>
      </c>
      <c r="I361" s="1" t="s">
        <v>18</v>
      </c>
      <c r="J361" s="1" t="s">
        <v>19</v>
      </c>
      <c r="K361" s="2">
        <v>1</v>
      </c>
      <c r="L361" s="1" t="s">
        <v>19</v>
      </c>
      <c r="M361" s="1" t="s">
        <v>53</v>
      </c>
    </row>
    <row r="362" spans="1:13" x14ac:dyDescent="0.3">
      <c r="A362" s="1" t="s">
        <v>181</v>
      </c>
      <c r="B362" s="2">
        <v>421</v>
      </c>
      <c r="C362" s="4">
        <v>171</v>
      </c>
      <c r="D362" s="5">
        <v>0.59</v>
      </c>
      <c r="E362" s="1" t="s">
        <v>22</v>
      </c>
      <c r="F362" s="1" t="s">
        <v>15</v>
      </c>
      <c r="G362" s="1" t="s">
        <v>52</v>
      </c>
      <c r="H362" s="1" t="s">
        <v>24</v>
      </c>
      <c r="I362" s="1" t="s">
        <v>18</v>
      </c>
      <c r="J362" s="1" t="s">
        <v>25</v>
      </c>
      <c r="K362" s="2">
        <v>12</v>
      </c>
      <c r="L362" s="1" t="s">
        <v>25</v>
      </c>
      <c r="M362" s="1" t="s">
        <v>112</v>
      </c>
    </row>
    <row r="363" spans="1:13" x14ac:dyDescent="0.3">
      <c r="A363" s="1" t="s">
        <v>507</v>
      </c>
      <c r="B363" s="2">
        <v>495</v>
      </c>
      <c r="C363" s="4">
        <v>299</v>
      </c>
      <c r="D363" s="5">
        <v>0.39</v>
      </c>
      <c r="E363" s="1" t="s">
        <v>22</v>
      </c>
      <c r="F363" s="1" t="s">
        <v>15</v>
      </c>
      <c r="G363" s="1" t="s">
        <v>49</v>
      </c>
      <c r="H363" s="1" t="s">
        <v>24</v>
      </c>
      <c r="I363" s="1" t="s">
        <v>18</v>
      </c>
      <c r="J363" s="1" t="s">
        <v>25</v>
      </c>
      <c r="K363" s="2">
        <v>1</v>
      </c>
      <c r="L363" s="1" t="s">
        <v>25</v>
      </c>
      <c r="M363" s="1" t="s">
        <v>53</v>
      </c>
    </row>
    <row r="364" spans="1:13" x14ac:dyDescent="0.3">
      <c r="A364" s="1" t="s">
        <v>368</v>
      </c>
      <c r="B364" s="2">
        <v>599</v>
      </c>
      <c r="C364" s="4">
        <v>169</v>
      </c>
      <c r="D364" s="5">
        <v>0.71</v>
      </c>
      <c r="E364" s="1" t="s">
        <v>14</v>
      </c>
      <c r="F364" s="1" t="s">
        <v>15</v>
      </c>
      <c r="G364" s="1" t="s">
        <v>141</v>
      </c>
      <c r="H364" s="1" t="s">
        <v>17</v>
      </c>
      <c r="I364" s="1" t="s">
        <v>539</v>
      </c>
      <c r="J364" s="1" t="s">
        <v>19</v>
      </c>
      <c r="K364" s="2">
        <v>1</v>
      </c>
      <c r="L364" s="1" t="s">
        <v>25</v>
      </c>
      <c r="M364" s="1" t="s">
        <v>369</v>
      </c>
    </row>
    <row r="365" spans="1:13" x14ac:dyDescent="0.3">
      <c r="A365" s="1" t="s">
        <v>508</v>
      </c>
      <c r="B365" s="2">
        <v>1533</v>
      </c>
      <c r="C365" s="4">
        <v>399</v>
      </c>
      <c r="D365" s="5">
        <v>0.73</v>
      </c>
      <c r="E365" s="1" t="s">
        <v>22</v>
      </c>
      <c r="F365" s="1" t="s">
        <v>15</v>
      </c>
      <c r="G365" s="1" t="s">
        <v>28</v>
      </c>
      <c r="H365" s="1" t="s">
        <v>24</v>
      </c>
      <c r="I365" s="1" t="s">
        <v>539</v>
      </c>
      <c r="J365" s="1" t="s">
        <v>19</v>
      </c>
      <c r="K365" s="2">
        <v>1</v>
      </c>
      <c r="L365" s="1" t="s">
        <v>19</v>
      </c>
      <c r="M365" s="1" t="s">
        <v>509</v>
      </c>
    </row>
    <row r="366" spans="1:13" x14ac:dyDescent="0.3">
      <c r="A366" s="1" t="s">
        <v>510</v>
      </c>
      <c r="B366" s="2">
        <v>399</v>
      </c>
      <c r="C366" s="4">
        <v>249</v>
      </c>
      <c r="D366" s="5">
        <v>0.37</v>
      </c>
      <c r="E366" s="1" t="s">
        <v>22</v>
      </c>
      <c r="F366" s="1" t="s">
        <v>15</v>
      </c>
      <c r="G366" s="1" t="s">
        <v>52</v>
      </c>
      <c r="H366" s="1" t="s">
        <v>24</v>
      </c>
      <c r="I366" s="1" t="s">
        <v>18</v>
      </c>
      <c r="J366" s="1" t="s">
        <v>25</v>
      </c>
      <c r="K366" s="2">
        <v>1</v>
      </c>
      <c r="L366" s="1" t="s">
        <v>19</v>
      </c>
      <c r="M366" s="1" t="s">
        <v>53</v>
      </c>
    </row>
    <row r="367" spans="1:13" x14ac:dyDescent="0.3">
      <c r="A367" s="1" t="s">
        <v>66</v>
      </c>
      <c r="B367" s="2">
        <v>349</v>
      </c>
      <c r="C367" s="4">
        <v>129</v>
      </c>
      <c r="D367" s="5">
        <v>0.63</v>
      </c>
      <c r="E367" s="1" t="s">
        <v>22</v>
      </c>
      <c r="F367" s="1" t="s">
        <v>15</v>
      </c>
      <c r="G367" s="1" t="s">
        <v>23</v>
      </c>
      <c r="H367" s="1" t="s">
        <v>17</v>
      </c>
      <c r="I367" s="1" t="s">
        <v>539</v>
      </c>
      <c r="J367" s="1" t="s">
        <v>19</v>
      </c>
      <c r="K367" s="2">
        <v>1</v>
      </c>
      <c r="L367" s="1" t="s">
        <v>25</v>
      </c>
      <c r="M367" s="1" t="s">
        <v>44</v>
      </c>
    </row>
    <row r="368" spans="1:13" x14ac:dyDescent="0.3">
      <c r="A368" s="1" t="s">
        <v>374</v>
      </c>
      <c r="B368" s="2">
        <v>499</v>
      </c>
      <c r="C368" s="4">
        <v>134</v>
      </c>
      <c r="D368" s="5">
        <v>0.73</v>
      </c>
      <c r="E368" s="1" t="s">
        <v>14</v>
      </c>
      <c r="F368" s="1" t="s">
        <v>15</v>
      </c>
      <c r="G368" s="1" t="s">
        <v>28</v>
      </c>
      <c r="H368" s="1" t="s">
        <v>17</v>
      </c>
      <c r="I368" s="1" t="s">
        <v>539</v>
      </c>
      <c r="J368" s="1" t="s">
        <v>19</v>
      </c>
      <c r="K368" s="2">
        <v>1</v>
      </c>
      <c r="L368" s="1" t="s">
        <v>25</v>
      </c>
      <c r="M368" s="1" t="s">
        <v>369</v>
      </c>
    </row>
    <row r="369" spans="1:13" x14ac:dyDescent="0.3">
      <c r="A369" s="1" t="s">
        <v>511</v>
      </c>
      <c r="B369" s="2">
        <v>499</v>
      </c>
      <c r="C369" s="4">
        <v>349</v>
      </c>
      <c r="D369" s="5">
        <v>0.3</v>
      </c>
      <c r="E369" s="1" t="s">
        <v>22</v>
      </c>
      <c r="F369" s="1" t="s">
        <v>15</v>
      </c>
      <c r="G369" s="1" t="s">
        <v>52</v>
      </c>
      <c r="H369" s="1" t="s">
        <v>93</v>
      </c>
      <c r="I369" s="1" t="s">
        <v>18</v>
      </c>
      <c r="J369" s="1" t="s">
        <v>25</v>
      </c>
      <c r="K369" s="2">
        <v>1</v>
      </c>
      <c r="L369" s="1" t="s">
        <v>19</v>
      </c>
      <c r="M369" s="1" t="s">
        <v>53</v>
      </c>
    </row>
    <row r="370" spans="1:13" x14ac:dyDescent="0.3">
      <c r="A370" s="1" t="s">
        <v>512</v>
      </c>
      <c r="B370" s="2">
        <v>399</v>
      </c>
      <c r="C370" s="4">
        <v>125</v>
      </c>
      <c r="D370" s="5">
        <v>0.68</v>
      </c>
      <c r="E370" s="1" t="s">
        <v>22</v>
      </c>
      <c r="F370" s="1" t="s">
        <v>15</v>
      </c>
      <c r="G370" s="1" t="s">
        <v>36</v>
      </c>
      <c r="H370" s="1" t="s">
        <v>24</v>
      </c>
      <c r="I370" s="1" t="s">
        <v>539</v>
      </c>
      <c r="J370" s="1" t="s">
        <v>19</v>
      </c>
      <c r="K370" s="2">
        <v>1</v>
      </c>
      <c r="L370" s="1" t="s">
        <v>25</v>
      </c>
      <c r="M370" s="1" t="s">
        <v>72</v>
      </c>
    </row>
    <row r="371" spans="1:13" x14ac:dyDescent="0.3">
      <c r="A371" s="1" t="s">
        <v>513</v>
      </c>
      <c r="B371" s="2">
        <v>449</v>
      </c>
      <c r="C371" s="4">
        <v>329</v>
      </c>
      <c r="D371" s="5">
        <v>0.26</v>
      </c>
      <c r="E371" s="1" t="s">
        <v>22</v>
      </c>
      <c r="F371" s="1" t="s">
        <v>15</v>
      </c>
      <c r="G371" s="1" t="s">
        <v>16</v>
      </c>
      <c r="H371" s="1" t="s">
        <v>93</v>
      </c>
      <c r="I371" s="1" t="s">
        <v>18</v>
      </c>
      <c r="J371" s="1" t="s">
        <v>19</v>
      </c>
      <c r="K371" s="2">
        <v>1</v>
      </c>
      <c r="L371" s="1" t="s">
        <v>19</v>
      </c>
      <c r="M371" s="1" t="s">
        <v>53</v>
      </c>
    </row>
    <row r="372" spans="1:13" x14ac:dyDescent="0.3">
      <c r="A372" s="1" t="s">
        <v>514</v>
      </c>
      <c r="B372" s="2">
        <v>499</v>
      </c>
      <c r="C372" s="4">
        <v>123</v>
      </c>
      <c r="D372" s="5">
        <v>0.75</v>
      </c>
      <c r="E372" s="1" t="s">
        <v>22</v>
      </c>
      <c r="F372" s="1" t="s">
        <v>15</v>
      </c>
      <c r="G372" s="1" t="s">
        <v>36</v>
      </c>
      <c r="H372" s="1" t="s">
        <v>24</v>
      </c>
      <c r="I372" s="1" t="s">
        <v>539</v>
      </c>
      <c r="J372" s="1" t="s">
        <v>19</v>
      </c>
      <c r="K372" s="2">
        <v>1</v>
      </c>
      <c r="L372" s="1" t="s">
        <v>25</v>
      </c>
      <c r="M372" s="1" t="s">
        <v>55</v>
      </c>
    </row>
    <row r="373" spans="1:13" x14ac:dyDescent="0.3">
      <c r="A373" s="1" t="s">
        <v>388</v>
      </c>
      <c r="B373" s="2">
        <v>449</v>
      </c>
      <c r="C373" s="4">
        <v>271</v>
      </c>
      <c r="D373" s="5">
        <v>0.39</v>
      </c>
      <c r="E373" s="1" t="s">
        <v>22</v>
      </c>
      <c r="F373" s="1" t="s">
        <v>15</v>
      </c>
      <c r="G373" s="1" t="s">
        <v>23</v>
      </c>
      <c r="H373" s="1" t="s">
        <v>17</v>
      </c>
      <c r="I373" s="1" t="s">
        <v>539</v>
      </c>
      <c r="J373" s="1" t="s">
        <v>19</v>
      </c>
      <c r="K373" s="2">
        <v>1</v>
      </c>
      <c r="L373" s="1" t="s">
        <v>25</v>
      </c>
      <c r="M373" s="1" t="s">
        <v>389</v>
      </c>
    </row>
    <row r="374" spans="1:13" x14ac:dyDescent="0.3">
      <c r="A374" s="1" t="s">
        <v>515</v>
      </c>
      <c r="B374" s="2">
        <v>449</v>
      </c>
      <c r="C374" s="4">
        <v>299</v>
      </c>
      <c r="D374" s="5">
        <v>0.33</v>
      </c>
      <c r="E374" s="1" t="s">
        <v>22</v>
      </c>
      <c r="F374" s="1" t="s">
        <v>15</v>
      </c>
      <c r="G374" s="1" t="s">
        <v>16</v>
      </c>
      <c r="H374" s="1" t="s">
        <v>24</v>
      </c>
      <c r="I374" s="1" t="s">
        <v>18</v>
      </c>
      <c r="J374" s="1" t="s">
        <v>19</v>
      </c>
      <c r="K374" s="2">
        <v>1</v>
      </c>
      <c r="L374" s="1" t="s">
        <v>19</v>
      </c>
      <c r="M374" s="1" t="s">
        <v>53</v>
      </c>
    </row>
    <row r="375" spans="1:13" x14ac:dyDescent="0.3">
      <c r="A375" s="1" t="s">
        <v>515</v>
      </c>
      <c r="B375" s="2">
        <v>449</v>
      </c>
      <c r="C375" s="4">
        <v>299</v>
      </c>
      <c r="D375" s="5">
        <v>0.33</v>
      </c>
      <c r="E375" s="1" t="s">
        <v>22</v>
      </c>
      <c r="F375" s="1" t="s">
        <v>15</v>
      </c>
      <c r="G375" s="1" t="s">
        <v>16</v>
      </c>
      <c r="H375" s="1" t="s">
        <v>24</v>
      </c>
      <c r="I375" s="1" t="s">
        <v>18</v>
      </c>
      <c r="J375" s="1" t="s">
        <v>19</v>
      </c>
      <c r="K375" s="2">
        <v>1</v>
      </c>
      <c r="L375" s="1" t="s">
        <v>19</v>
      </c>
      <c r="M375" s="1" t="s">
        <v>53</v>
      </c>
    </row>
    <row r="376" spans="1:13" x14ac:dyDescent="0.3">
      <c r="A376" s="1" t="s">
        <v>516</v>
      </c>
      <c r="B376" s="2">
        <v>396</v>
      </c>
      <c r="C376" s="4">
        <v>177</v>
      </c>
      <c r="D376" s="5">
        <v>0.55000000000000004</v>
      </c>
      <c r="E376" s="1" t="s">
        <v>22</v>
      </c>
      <c r="F376" s="1" t="s">
        <v>15</v>
      </c>
      <c r="G376" s="1" t="s">
        <v>49</v>
      </c>
      <c r="H376" s="1" t="s">
        <v>17</v>
      </c>
      <c r="I376" s="1" t="s">
        <v>539</v>
      </c>
      <c r="J376" s="1" t="s">
        <v>25</v>
      </c>
      <c r="K376" s="2">
        <v>1</v>
      </c>
      <c r="L376" s="1" t="s">
        <v>25</v>
      </c>
      <c r="M376" s="1" t="s">
        <v>517</v>
      </c>
    </row>
    <row r="377" spans="1:13" x14ac:dyDescent="0.3">
      <c r="A377" s="1" t="s">
        <v>376</v>
      </c>
      <c r="B377" s="2">
        <v>789</v>
      </c>
      <c r="C377" s="4">
        <v>268</v>
      </c>
      <c r="D377" s="5">
        <v>0.66</v>
      </c>
      <c r="E377" s="1" t="s">
        <v>22</v>
      </c>
      <c r="F377" s="1" t="s">
        <v>15</v>
      </c>
      <c r="G377" s="1" t="s">
        <v>28</v>
      </c>
      <c r="H377" s="1" t="s">
        <v>17</v>
      </c>
      <c r="I377" s="1" t="s">
        <v>539</v>
      </c>
      <c r="J377" s="1" t="s">
        <v>19</v>
      </c>
      <c r="K377" s="2">
        <v>1</v>
      </c>
      <c r="L377" s="1" t="s">
        <v>25</v>
      </c>
      <c r="M377" s="1" t="s">
        <v>44</v>
      </c>
    </row>
    <row r="378" spans="1:13" x14ac:dyDescent="0.3">
      <c r="A378" s="1" t="s">
        <v>518</v>
      </c>
      <c r="B378" s="2">
        <v>299</v>
      </c>
      <c r="C378" s="4">
        <v>135</v>
      </c>
      <c r="D378" s="5">
        <v>0.54</v>
      </c>
      <c r="E378" s="1" t="s">
        <v>22</v>
      </c>
      <c r="F378" s="1" t="s">
        <v>15</v>
      </c>
      <c r="G378" s="1" t="s">
        <v>36</v>
      </c>
      <c r="H378" s="1" t="s">
        <v>17</v>
      </c>
      <c r="I378" s="1" t="s">
        <v>539</v>
      </c>
      <c r="J378" s="1" t="s">
        <v>25</v>
      </c>
      <c r="K378" s="2">
        <v>0.6</v>
      </c>
      <c r="L378" s="1" t="s">
        <v>25</v>
      </c>
      <c r="M378" s="1" t="s">
        <v>258</v>
      </c>
    </row>
    <row r="379" spans="1:13" x14ac:dyDescent="0.3">
      <c r="A379" s="1" t="s">
        <v>519</v>
      </c>
      <c r="B379" s="2">
        <v>499</v>
      </c>
      <c r="C379" s="4">
        <v>165</v>
      </c>
      <c r="D379" s="5">
        <v>0.66</v>
      </c>
      <c r="E379" s="1" t="s">
        <v>22</v>
      </c>
      <c r="F379" s="1" t="s">
        <v>15</v>
      </c>
      <c r="G379" s="1" t="s">
        <v>28</v>
      </c>
      <c r="H379" s="1" t="s">
        <v>17</v>
      </c>
      <c r="I379" s="1" t="s">
        <v>539</v>
      </c>
      <c r="J379" s="1" t="s">
        <v>19</v>
      </c>
      <c r="K379" s="2">
        <v>1</v>
      </c>
      <c r="L379" s="1" t="s">
        <v>25</v>
      </c>
      <c r="M379" s="1" t="s">
        <v>39</v>
      </c>
    </row>
    <row r="380" spans="1:13" x14ac:dyDescent="0.3">
      <c r="A380" s="1" t="s">
        <v>515</v>
      </c>
      <c r="B380" s="2">
        <v>555</v>
      </c>
      <c r="C380" s="4">
        <v>329</v>
      </c>
      <c r="D380" s="5">
        <v>0.4</v>
      </c>
      <c r="E380" s="1" t="s">
        <v>22</v>
      </c>
      <c r="F380" s="1" t="s">
        <v>15</v>
      </c>
      <c r="G380" s="1" t="s">
        <v>16</v>
      </c>
      <c r="H380" s="1" t="s">
        <v>93</v>
      </c>
      <c r="I380" s="1" t="s">
        <v>18</v>
      </c>
      <c r="J380" s="1" t="s">
        <v>19</v>
      </c>
      <c r="K380" s="2">
        <v>1</v>
      </c>
      <c r="L380" s="1" t="s">
        <v>19</v>
      </c>
      <c r="M380" s="1" t="s">
        <v>53</v>
      </c>
    </row>
    <row r="381" spans="1:13" x14ac:dyDescent="0.3">
      <c r="A381" s="1" t="s">
        <v>520</v>
      </c>
      <c r="B381" s="2">
        <v>449</v>
      </c>
      <c r="C381" s="4">
        <v>329</v>
      </c>
      <c r="D381" s="5">
        <v>0.26</v>
      </c>
      <c r="E381" s="1" t="s">
        <v>22</v>
      </c>
      <c r="F381" s="1" t="s">
        <v>15</v>
      </c>
      <c r="G381" s="1" t="s">
        <v>16</v>
      </c>
      <c r="H381" s="1" t="s">
        <v>93</v>
      </c>
      <c r="I381" s="1" t="s">
        <v>18</v>
      </c>
      <c r="J381" s="1" t="s">
        <v>19</v>
      </c>
      <c r="K381" s="2">
        <v>1</v>
      </c>
      <c r="L381" s="1" t="s">
        <v>19</v>
      </c>
      <c r="M381" s="1" t="s">
        <v>53</v>
      </c>
    </row>
    <row r="382" spans="1:13" x14ac:dyDescent="0.3">
      <c r="A382" s="1" t="s">
        <v>521</v>
      </c>
      <c r="B382" s="2">
        <v>399</v>
      </c>
      <c r="C382" s="4">
        <v>133</v>
      </c>
      <c r="D382" s="5">
        <v>0.66</v>
      </c>
      <c r="E382" s="1" t="s">
        <v>22</v>
      </c>
      <c r="F382" s="1" t="s">
        <v>15</v>
      </c>
      <c r="G382" s="1" t="s">
        <v>23</v>
      </c>
      <c r="H382" s="1" t="s">
        <v>17</v>
      </c>
      <c r="I382" s="1" t="s">
        <v>539</v>
      </c>
      <c r="J382" s="1" t="s">
        <v>19</v>
      </c>
      <c r="K382" s="2">
        <v>1</v>
      </c>
      <c r="L382" s="1" t="s">
        <v>25</v>
      </c>
      <c r="M382" s="1" t="s">
        <v>44</v>
      </c>
    </row>
    <row r="383" spans="1:13" x14ac:dyDescent="0.3">
      <c r="A383" s="1" t="s">
        <v>388</v>
      </c>
      <c r="B383" s="2">
        <v>419</v>
      </c>
      <c r="C383" s="4">
        <v>289</v>
      </c>
      <c r="D383" s="5">
        <v>0.31</v>
      </c>
      <c r="E383" s="1" t="s">
        <v>22</v>
      </c>
      <c r="F383" s="1" t="s">
        <v>15</v>
      </c>
      <c r="G383" s="1" t="s">
        <v>23</v>
      </c>
      <c r="H383" s="1" t="s">
        <v>17</v>
      </c>
      <c r="I383" s="1" t="s">
        <v>539</v>
      </c>
      <c r="J383" s="1" t="s">
        <v>19</v>
      </c>
      <c r="K383" s="2">
        <v>1</v>
      </c>
      <c r="L383" s="1" t="s">
        <v>25</v>
      </c>
      <c r="M383" s="1" t="s">
        <v>389</v>
      </c>
    </row>
    <row r="384" spans="1:13" x14ac:dyDescent="0.3">
      <c r="A384" s="1" t="s">
        <v>522</v>
      </c>
      <c r="B384" s="2">
        <v>595</v>
      </c>
      <c r="C384" s="4">
        <v>299</v>
      </c>
      <c r="D384" s="5">
        <v>0.49</v>
      </c>
      <c r="E384" s="1" t="s">
        <v>22</v>
      </c>
      <c r="F384" s="1" t="s">
        <v>15</v>
      </c>
      <c r="G384" s="1" t="s">
        <v>16</v>
      </c>
      <c r="H384" s="1" t="s">
        <v>93</v>
      </c>
      <c r="I384" s="1" t="s">
        <v>18</v>
      </c>
      <c r="J384" s="1" t="s">
        <v>19</v>
      </c>
      <c r="K384" s="2">
        <v>1</v>
      </c>
      <c r="L384" s="1" t="s">
        <v>19</v>
      </c>
      <c r="M384" s="1" t="s">
        <v>53</v>
      </c>
    </row>
    <row r="385" spans="1:13" x14ac:dyDescent="0.3">
      <c r="A385" s="1" t="s">
        <v>522</v>
      </c>
      <c r="B385" s="2">
        <v>449</v>
      </c>
      <c r="C385" s="4">
        <v>299</v>
      </c>
      <c r="D385" s="5">
        <v>0.33</v>
      </c>
      <c r="E385" s="1" t="s">
        <v>22</v>
      </c>
      <c r="F385" s="1" t="s">
        <v>15</v>
      </c>
      <c r="G385" s="1" t="s">
        <v>16</v>
      </c>
      <c r="H385" s="1" t="s">
        <v>93</v>
      </c>
      <c r="I385" s="1" t="s">
        <v>18</v>
      </c>
      <c r="J385" s="1" t="s">
        <v>19</v>
      </c>
      <c r="K385" s="2">
        <v>1</v>
      </c>
      <c r="L385" s="1" t="s">
        <v>19</v>
      </c>
      <c r="M385" s="1" t="s">
        <v>53</v>
      </c>
    </row>
    <row r="386" spans="1:13" x14ac:dyDescent="0.3">
      <c r="A386" s="1" t="s">
        <v>523</v>
      </c>
      <c r="B386" s="2">
        <v>449</v>
      </c>
      <c r="C386" s="4">
        <v>179</v>
      </c>
      <c r="D386" s="5">
        <v>0.6</v>
      </c>
      <c r="E386" s="1" t="s">
        <v>14</v>
      </c>
      <c r="F386" s="1" t="s">
        <v>15</v>
      </c>
      <c r="G386" s="1" t="s">
        <v>36</v>
      </c>
      <c r="H386" s="1" t="s">
        <v>24</v>
      </c>
      <c r="I386" s="1" t="s">
        <v>539</v>
      </c>
      <c r="J386" s="1" t="s">
        <v>19</v>
      </c>
      <c r="K386" s="2">
        <v>0.5</v>
      </c>
      <c r="L386" s="1" t="s">
        <v>25</v>
      </c>
      <c r="M386" s="1" t="s">
        <v>94</v>
      </c>
    </row>
    <row r="387" spans="1:13" x14ac:dyDescent="0.3">
      <c r="A387" s="1" t="s">
        <v>524</v>
      </c>
      <c r="B387" s="2">
        <v>349</v>
      </c>
      <c r="C387" s="4">
        <v>199</v>
      </c>
      <c r="D387" s="5">
        <v>0.42</v>
      </c>
      <c r="E387" s="1" t="s">
        <v>22</v>
      </c>
      <c r="F387" s="1" t="s">
        <v>15</v>
      </c>
      <c r="G387" s="1" t="s">
        <v>167</v>
      </c>
      <c r="H387" s="1" t="s">
        <v>24</v>
      </c>
      <c r="I387" s="1" t="s">
        <v>18</v>
      </c>
      <c r="J387" s="1" t="s">
        <v>19</v>
      </c>
      <c r="K387" s="2">
        <v>1</v>
      </c>
      <c r="L387" s="1" t="s">
        <v>19</v>
      </c>
      <c r="M387" s="1" t="s">
        <v>53</v>
      </c>
    </row>
    <row r="388" spans="1:13" x14ac:dyDescent="0.3">
      <c r="A388" s="1" t="s">
        <v>388</v>
      </c>
      <c r="B388" s="2">
        <v>425</v>
      </c>
      <c r="C388" s="4">
        <v>275</v>
      </c>
      <c r="D388" s="5">
        <v>0.35</v>
      </c>
      <c r="E388" s="1" t="s">
        <v>22</v>
      </c>
      <c r="F388" s="1" t="s">
        <v>15</v>
      </c>
      <c r="G388" s="1" t="s">
        <v>23</v>
      </c>
      <c r="H388" s="1" t="s">
        <v>17</v>
      </c>
      <c r="I388" s="1" t="s">
        <v>539</v>
      </c>
      <c r="J388" s="1" t="s">
        <v>19</v>
      </c>
      <c r="K388" s="2">
        <v>1</v>
      </c>
      <c r="L388" s="1" t="s">
        <v>25</v>
      </c>
      <c r="M388" s="1" t="s">
        <v>389</v>
      </c>
    </row>
    <row r="389" spans="1:13" x14ac:dyDescent="0.3">
      <c r="A389" s="1" t="s">
        <v>525</v>
      </c>
      <c r="B389" s="2">
        <v>499</v>
      </c>
      <c r="C389" s="4">
        <v>249</v>
      </c>
      <c r="D389" s="5">
        <v>0.5</v>
      </c>
      <c r="E389" s="1" t="s">
        <v>22</v>
      </c>
      <c r="F389" s="1" t="s">
        <v>15</v>
      </c>
      <c r="G389" s="1" t="s">
        <v>105</v>
      </c>
      <c r="H389" s="1" t="s">
        <v>24</v>
      </c>
      <c r="I389" s="1" t="s">
        <v>18</v>
      </c>
      <c r="J389" s="1" t="s">
        <v>19</v>
      </c>
      <c r="K389" s="2">
        <v>1</v>
      </c>
      <c r="L389" s="1" t="s">
        <v>19</v>
      </c>
      <c r="M389" s="1" t="s">
        <v>53</v>
      </c>
    </row>
    <row r="390" spans="1:13" x14ac:dyDescent="0.3">
      <c r="A390" s="1" t="s">
        <v>522</v>
      </c>
      <c r="B390" s="2">
        <v>449</v>
      </c>
      <c r="C390" s="4">
        <v>299</v>
      </c>
      <c r="D390" s="5">
        <v>0.33</v>
      </c>
      <c r="E390" s="1" t="s">
        <v>22</v>
      </c>
      <c r="F390" s="1" t="s">
        <v>15</v>
      </c>
      <c r="G390" s="1" t="s">
        <v>16</v>
      </c>
      <c r="H390" s="1" t="s">
        <v>93</v>
      </c>
      <c r="I390" s="1" t="s">
        <v>18</v>
      </c>
      <c r="J390" s="1" t="s">
        <v>19</v>
      </c>
      <c r="K390" s="2">
        <v>1</v>
      </c>
      <c r="L390" s="1" t="s">
        <v>19</v>
      </c>
      <c r="M390" s="1" t="s">
        <v>53</v>
      </c>
    </row>
    <row r="391" spans="1:13" x14ac:dyDescent="0.3">
      <c r="A391" s="1" t="s">
        <v>526</v>
      </c>
      <c r="B391" s="2">
        <v>999</v>
      </c>
      <c r="C391" s="4">
        <v>379</v>
      </c>
      <c r="D391" s="5">
        <v>0.62</v>
      </c>
      <c r="E391" s="1" t="s">
        <v>14</v>
      </c>
      <c r="F391" s="1" t="s">
        <v>15</v>
      </c>
      <c r="G391" s="8" t="s">
        <v>52</v>
      </c>
      <c r="H391" s="1" t="s">
        <v>24</v>
      </c>
      <c r="I391" s="1" t="s">
        <v>539</v>
      </c>
      <c r="J391" s="1" t="s">
        <v>25</v>
      </c>
      <c r="K391" s="2">
        <v>2</v>
      </c>
      <c r="L391" s="1" t="s">
        <v>25</v>
      </c>
      <c r="M391" s="1" t="s">
        <v>527</v>
      </c>
    </row>
    <row r="392" spans="1:13" x14ac:dyDescent="0.3">
      <c r="A392" s="1" t="s">
        <v>528</v>
      </c>
      <c r="B392" s="2">
        <v>399</v>
      </c>
      <c r="C392" s="4">
        <v>199</v>
      </c>
      <c r="D392" s="5">
        <v>0.5</v>
      </c>
      <c r="E392" s="1" t="s">
        <v>22</v>
      </c>
      <c r="F392" s="1" t="s">
        <v>15</v>
      </c>
      <c r="G392" s="1" t="s">
        <v>16</v>
      </c>
      <c r="H392" s="1" t="s">
        <v>24</v>
      </c>
      <c r="I392" s="1" t="s">
        <v>18</v>
      </c>
      <c r="J392" s="1" t="s">
        <v>25</v>
      </c>
      <c r="K392" s="2">
        <v>1</v>
      </c>
      <c r="L392" s="1" t="s">
        <v>19</v>
      </c>
      <c r="M392" s="1" t="s">
        <v>53</v>
      </c>
    </row>
    <row r="393" spans="1:13" x14ac:dyDescent="0.3">
      <c r="A393" s="1" t="s">
        <v>529</v>
      </c>
      <c r="B393" s="2">
        <v>349</v>
      </c>
      <c r="C393" s="4">
        <v>199</v>
      </c>
      <c r="D393" s="5">
        <v>0.42</v>
      </c>
      <c r="E393" s="1" t="s">
        <v>22</v>
      </c>
      <c r="F393" s="1" t="s">
        <v>15</v>
      </c>
      <c r="G393" s="1" t="s">
        <v>16</v>
      </c>
      <c r="H393" s="1" t="s">
        <v>24</v>
      </c>
      <c r="I393" s="1" t="s">
        <v>18</v>
      </c>
      <c r="J393" s="1" t="s">
        <v>19</v>
      </c>
      <c r="K393" s="2">
        <v>1</v>
      </c>
      <c r="L393" s="1" t="s">
        <v>19</v>
      </c>
      <c r="M393" s="1" t="s">
        <v>53</v>
      </c>
    </row>
    <row r="394" spans="1:13" x14ac:dyDescent="0.3">
      <c r="A394" s="1" t="s">
        <v>388</v>
      </c>
      <c r="B394" s="2">
        <v>625</v>
      </c>
      <c r="C394" s="4">
        <v>298</v>
      </c>
      <c r="D394" s="5">
        <v>0.52</v>
      </c>
      <c r="E394" s="1" t="s">
        <v>22</v>
      </c>
      <c r="F394" s="1" t="s">
        <v>15</v>
      </c>
      <c r="G394" s="1" t="s">
        <v>23</v>
      </c>
      <c r="H394" s="1" t="s">
        <v>17</v>
      </c>
      <c r="I394" s="1" t="s">
        <v>539</v>
      </c>
      <c r="J394" s="1" t="s">
        <v>19</v>
      </c>
      <c r="K394" s="2">
        <v>1</v>
      </c>
      <c r="L394" s="1" t="s">
        <v>25</v>
      </c>
      <c r="M394" s="1" t="s">
        <v>389</v>
      </c>
    </row>
    <row r="395" spans="1:13" x14ac:dyDescent="0.3">
      <c r="A395" s="1" t="s">
        <v>530</v>
      </c>
      <c r="B395" s="2">
        <v>349</v>
      </c>
      <c r="C395" s="4">
        <v>199</v>
      </c>
      <c r="D395" s="5">
        <v>0.42</v>
      </c>
      <c r="E395" s="1" t="s">
        <v>22</v>
      </c>
      <c r="F395" s="1" t="s">
        <v>15</v>
      </c>
      <c r="G395" s="1" t="s">
        <v>49</v>
      </c>
      <c r="H395" s="1" t="s">
        <v>24</v>
      </c>
      <c r="I395" s="1" t="s">
        <v>18</v>
      </c>
      <c r="J395" s="1" t="s">
        <v>19</v>
      </c>
      <c r="K395" s="2">
        <v>1</v>
      </c>
      <c r="L395" s="1" t="s">
        <v>19</v>
      </c>
      <c r="M395" s="1" t="s">
        <v>53</v>
      </c>
    </row>
    <row r="396" spans="1:13" x14ac:dyDescent="0.3">
      <c r="A396" s="1" t="s">
        <v>531</v>
      </c>
      <c r="B396" s="2">
        <v>599</v>
      </c>
      <c r="C396" s="4">
        <v>299</v>
      </c>
      <c r="D396" s="5">
        <v>0.5</v>
      </c>
      <c r="E396" s="1" t="s">
        <v>22</v>
      </c>
      <c r="F396" s="1" t="s">
        <v>15</v>
      </c>
      <c r="G396" s="1" t="s">
        <v>105</v>
      </c>
      <c r="H396" s="1" t="s">
        <v>24</v>
      </c>
      <c r="I396" s="1" t="s">
        <v>18</v>
      </c>
      <c r="J396" s="1" t="s">
        <v>19</v>
      </c>
      <c r="K396" s="2">
        <v>1</v>
      </c>
      <c r="L396" s="1" t="s">
        <v>19</v>
      </c>
      <c r="M396" s="1" t="s">
        <v>532</v>
      </c>
    </row>
    <row r="397" spans="1:13" x14ac:dyDescent="0.3">
      <c r="A397" s="1" t="s">
        <v>533</v>
      </c>
      <c r="B397" s="2">
        <v>699</v>
      </c>
      <c r="C397" s="4">
        <v>290</v>
      </c>
      <c r="D397" s="5">
        <v>0.57999999999999996</v>
      </c>
      <c r="E397" s="1" t="s">
        <v>22</v>
      </c>
      <c r="F397" s="1" t="s">
        <v>15</v>
      </c>
      <c r="G397" s="1" t="s">
        <v>52</v>
      </c>
      <c r="H397" s="1" t="s">
        <v>24</v>
      </c>
      <c r="I397" s="1" t="s">
        <v>18</v>
      </c>
      <c r="J397" s="1" t="s">
        <v>25</v>
      </c>
      <c r="K397" s="2">
        <v>6</v>
      </c>
      <c r="L397" s="1" t="s">
        <v>19</v>
      </c>
      <c r="M397" s="1" t="s">
        <v>456</v>
      </c>
    </row>
    <row r="398" spans="1:13" x14ac:dyDescent="0.3">
      <c r="A398" s="1" t="s">
        <v>534</v>
      </c>
      <c r="B398" s="2">
        <v>599</v>
      </c>
      <c r="C398" s="4">
        <v>229</v>
      </c>
      <c r="D398" s="5">
        <v>0.61</v>
      </c>
      <c r="E398" s="1" t="s">
        <v>22</v>
      </c>
      <c r="F398" s="1" t="s">
        <v>15</v>
      </c>
      <c r="G398" s="1" t="s">
        <v>52</v>
      </c>
      <c r="H398" s="1" t="s">
        <v>24</v>
      </c>
      <c r="I398" s="1" t="s">
        <v>18</v>
      </c>
      <c r="J398" s="1" t="s">
        <v>25</v>
      </c>
      <c r="K398" s="2">
        <v>2</v>
      </c>
      <c r="L398" s="1" t="s">
        <v>19</v>
      </c>
      <c r="M398" s="1" t="s">
        <v>535</v>
      </c>
    </row>
    <row r="399" spans="1:13" x14ac:dyDescent="0.3">
      <c r="A399" s="1" t="s">
        <v>385</v>
      </c>
      <c r="B399" s="2">
        <v>349</v>
      </c>
      <c r="C399" s="4">
        <v>199</v>
      </c>
      <c r="D399" s="5">
        <v>0.42</v>
      </c>
      <c r="E399" s="1" t="s">
        <v>22</v>
      </c>
      <c r="F399" s="1" t="s">
        <v>15</v>
      </c>
      <c r="G399" s="1" t="s">
        <v>49</v>
      </c>
      <c r="H399" s="1" t="s">
        <v>24</v>
      </c>
      <c r="I399" s="1" t="s">
        <v>18</v>
      </c>
      <c r="J399" s="1" t="s">
        <v>19</v>
      </c>
      <c r="K399" s="2">
        <v>1</v>
      </c>
      <c r="L399" s="1" t="s">
        <v>19</v>
      </c>
      <c r="M399" s="1" t="s">
        <v>53</v>
      </c>
    </row>
    <row r="400" spans="1:13" x14ac:dyDescent="0.3">
      <c r="A400" s="1" t="s">
        <v>536</v>
      </c>
      <c r="B400" s="2">
        <v>999</v>
      </c>
      <c r="C400" s="4">
        <v>399</v>
      </c>
      <c r="D400" s="5">
        <v>0.6</v>
      </c>
      <c r="E400" s="1" t="s">
        <v>14</v>
      </c>
      <c r="F400" s="1" t="s">
        <v>15</v>
      </c>
      <c r="G400" s="1" t="s">
        <v>52</v>
      </c>
      <c r="H400" s="1" t="s">
        <v>24</v>
      </c>
      <c r="I400" s="1" t="s">
        <v>539</v>
      </c>
      <c r="J400" s="1" t="s">
        <v>25</v>
      </c>
      <c r="K400" s="2">
        <v>2</v>
      </c>
      <c r="L400" s="1" t="s">
        <v>25</v>
      </c>
      <c r="M400" s="1" t="s">
        <v>527</v>
      </c>
    </row>
    <row r="401" spans="1:13" x14ac:dyDescent="0.3">
      <c r="A401" s="1" t="s">
        <v>537</v>
      </c>
      <c r="B401" s="2">
        <v>699</v>
      </c>
      <c r="C401" s="4">
        <v>279</v>
      </c>
      <c r="D401" s="5">
        <v>0.6</v>
      </c>
      <c r="E401" s="1" t="s">
        <v>22</v>
      </c>
      <c r="F401" s="1" t="s">
        <v>15</v>
      </c>
      <c r="G401" s="1" t="s">
        <v>52</v>
      </c>
      <c r="H401" s="1" t="s">
        <v>24</v>
      </c>
      <c r="I401" s="1" t="s">
        <v>18</v>
      </c>
      <c r="J401" s="1" t="s">
        <v>25</v>
      </c>
      <c r="K401" s="2">
        <v>2</v>
      </c>
      <c r="L401" s="1" t="s">
        <v>25</v>
      </c>
      <c r="M401" s="1" t="s">
        <v>538</v>
      </c>
    </row>
  </sheetData>
  <mergeCells count="6">
    <mergeCell ref="O1:P2"/>
    <mergeCell ref="O10:P11"/>
    <mergeCell ref="O20:P21"/>
    <mergeCell ref="O31:P32"/>
    <mergeCell ref="R1:U2"/>
    <mergeCell ref="R11:S12"/>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showGridLines="0" zoomScale="78" zoomScaleNormal="78" workbookViewId="0">
      <selection activeCell="AA34" sqref="AA34"/>
    </sheetView>
  </sheetViews>
  <sheetFormatPr defaultRowHeight="15.6" x14ac:dyDescent="0.3"/>
  <cols>
    <col min="1" max="16384" width="8.796875" style="16"/>
  </cols>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7"/>
  <sheetViews>
    <sheetView workbookViewId="0">
      <selection activeCell="M22" sqref="M22"/>
    </sheetView>
  </sheetViews>
  <sheetFormatPr defaultRowHeight="15.6" x14ac:dyDescent="0.3"/>
  <cols>
    <col min="1" max="1" width="12.296875" customWidth="1"/>
    <col min="2" max="2" width="13.5" customWidth="1"/>
  </cols>
  <sheetData>
    <row r="3" spans="1:2" x14ac:dyDescent="0.3">
      <c r="A3" s="14" t="s">
        <v>557</v>
      </c>
      <c r="B3" t="s">
        <v>560</v>
      </c>
    </row>
    <row r="4" spans="1:2" x14ac:dyDescent="0.3">
      <c r="A4" s="15" t="s">
        <v>417</v>
      </c>
      <c r="B4">
        <v>1</v>
      </c>
    </row>
    <row r="5" spans="1:2" x14ac:dyDescent="0.3">
      <c r="A5" s="15" t="s">
        <v>14</v>
      </c>
      <c r="B5">
        <v>96</v>
      </c>
    </row>
    <row r="6" spans="1:2" x14ac:dyDescent="0.3">
      <c r="A6" s="15" t="s">
        <v>22</v>
      </c>
      <c r="B6">
        <v>303</v>
      </c>
    </row>
    <row r="7" spans="1:2" x14ac:dyDescent="0.3">
      <c r="A7" s="15" t="s">
        <v>558</v>
      </c>
      <c r="B7">
        <v>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5"/>
  <sheetViews>
    <sheetView workbookViewId="0">
      <selection activeCell="D20" sqref="D20"/>
    </sheetView>
  </sheetViews>
  <sheetFormatPr defaultRowHeight="15.6" x14ac:dyDescent="0.3"/>
  <cols>
    <col min="1" max="1" width="18.69921875" customWidth="1"/>
    <col min="2" max="2" width="13.5" customWidth="1"/>
  </cols>
  <sheetData>
    <row r="3" spans="1:2" x14ac:dyDescent="0.3">
      <c r="A3" s="14" t="s">
        <v>557</v>
      </c>
      <c r="B3" t="s">
        <v>560</v>
      </c>
    </row>
    <row r="4" spans="1:2" x14ac:dyDescent="0.3">
      <c r="A4" s="15" t="s">
        <v>15</v>
      </c>
      <c r="B4">
        <v>400</v>
      </c>
    </row>
    <row r="5" spans="1:2" x14ac:dyDescent="0.3">
      <c r="A5" s="15" t="s">
        <v>558</v>
      </c>
      <c r="B5">
        <v>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
  <sheetViews>
    <sheetView workbookViewId="0">
      <selection activeCell="B6" sqref="B6"/>
    </sheetView>
  </sheetViews>
  <sheetFormatPr defaultRowHeight="15.6" x14ac:dyDescent="0.3"/>
  <cols>
    <col min="1" max="1" width="20" customWidth="1"/>
    <col min="2" max="2" width="13.5" customWidth="1"/>
  </cols>
  <sheetData>
    <row r="3" spans="1:2" x14ac:dyDescent="0.3">
      <c r="A3" s="14" t="s">
        <v>557</v>
      </c>
      <c r="B3" t="s">
        <v>560</v>
      </c>
    </row>
    <row r="4" spans="1:2" x14ac:dyDescent="0.3">
      <c r="A4" s="15" t="s">
        <v>46</v>
      </c>
      <c r="B4">
        <v>11</v>
      </c>
    </row>
    <row r="5" spans="1:2" x14ac:dyDescent="0.3">
      <c r="A5" s="15" t="s">
        <v>52</v>
      </c>
      <c r="B5">
        <v>38</v>
      </c>
    </row>
    <row r="6" spans="1:2" x14ac:dyDescent="0.3">
      <c r="A6" s="15" t="s">
        <v>64</v>
      </c>
      <c r="B6">
        <v>19</v>
      </c>
    </row>
    <row r="7" spans="1:2" x14ac:dyDescent="0.3">
      <c r="A7" s="15" t="s">
        <v>167</v>
      </c>
      <c r="B7">
        <v>2</v>
      </c>
    </row>
    <row r="8" spans="1:2" x14ac:dyDescent="0.3">
      <c r="A8" s="15" t="s">
        <v>28</v>
      </c>
      <c r="B8">
        <v>86</v>
      </c>
    </row>
    <row r="9" spans="1:2" x14ac:dyDescent="0.3">
      <c r="A9" s="15" t="s">
        <v>16</v>
      </c>
      <c r="B9">
        <v>31</v>
      </c>
    </row>
    <row r="10" spans="1:2" x14ac:dyDescent="0.3">
      <c r="A10" s="15" t="s">
        <v>23</v>
      </c>
      <c r="B10">
        <v>112</v>
      </c>
    </row>
    <row r="11" spans="1:2" x14ac:dyDescent="0.3">
      <c r="A11" s="15" t="s">
        <v>36</v>
      </c>
      <c r="B11">
        <v>45</v>
      </c>
    </row>
    <row r="12" spans="1:2" x14ac:dyDescent="0.3">
      <c r="A12" s="15" t="s">
        <v>105</v>
      </c>
      <c r="B12">
        <v>19</v>
      </c>
    </row>
    <row r="13" spans="1:2" x14ac:dyDescent="0.3">
      <c r="A13" s="15" t="s">
        <v>49</v>
      </c>
      <c r="B13">
        <v>26</v>
      </c>
    </row>
    <row r="14" spans="1:2" x14ac:dyDescent="0.3">
      <c r="A14" s="15" t="s">
        <v>141</v>
      </c>
      <c r="B14">
        <v>10</v>
      </c>
    </row>
    <row r="15" spans="1:2" x14ac:dyDescent="0.3">
      <c r="A15" s="15" t="s">
        <v>458</v>
      </c>
      <c r="B15">
        <v>1</v>
      </c>
    </row>
    <row r="16" spans="1:2" x14ac:dyDescent="0.3">
      <c r="A16" s="15" t="s">
        <v>558</v>
      </c>
      <c r="B16">
        <v>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C5" sqref="C5"/>
    </sheetView>
  </sheetViews>
  <sheetFormatPr defaultRowHeight="15.6" x14ac:dyDescent="0.3"/>
  <cols>
    <col min="1" max="1" width="12.296875" customWidth="1"/>
    <col min="2" max="2" width="13.5" customWidth="1"/>
  </cols>
  <sheetData>
    <row r="3" spans="1:2" x14ac:dyDescent="0.3">
      <c r="A3" s="14" t="s">
        <v>557</v>
      </c>
      <c r="B3" t="s">
        <v>560</v>
      </c>
    </row>
    <row r="4" spans="1:2" x14ac:dyDescent="0.3">
      <c r="A4" s="15" t="s">
        <v>24</v>
      </c>
      <c r="B4">
        <v>197</v>
      </c>
    </row>
    <row r="5" spans="1:2" x14ac:dyDescent="0.3">
      <c r="A5" s="15" t="s">
        <v>93</v>
      </c>
      <c r="B5">
        <v>25</v>
      </c>
    </row>
    <row r="6" spans="1:2" x14ac:dyDescent="0.3">
      <c r="A6" s="15" t="s">
        <v>17</v>
      </c>
      <c r="B6">
        <v>178</v>
      </c>
    </row>
    <row r="7" spans="1:2" x14ac:dyDescent="0.3">
      <c r="A7" s="15" t="s">
        <v>558</v>
      </c>
      <c r="B7">
        <v>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topLeftCell="T1" workbookViewId="0">
      <selection activeCell="P25" sqref="P25"/>
    </sheetView>
  </sheetViews>
  <sheetFormatPr defaultRowHeight="15.6" x14ac:dyDescent="0.3"/>
  <cols>
    <col min="1" max="1" width="12.296875" customWidth="1"/>
    <col min="2" max="2" width="13.5" customWidth="1"/>
  </cols>
  <sheetData>
    <row r="3" spans="1:2" x14ac:dyDescent="0.3">
      <c r="A3" s="14" t="s">
        <v>557</v>
      </c>
      <c r="B3" t="s">
        <v>560</v>
      </c>
    </row>
    <row r="4" spans="1:2" x14ac:dyDescent="0.3">
      <c r="A4" s="15" t="s">
        <v>539</v>
      </c>
      <c r="B4">
        <v>312</v>
      </c>
    </row>
    <row r="5" spans="1:2" x14ac:dyDescent="0.3">
      <c r="A5" s="15" t="s">
        <v>18</v>
      </c>
      <c r="B5">
        <v>86</v>
      </c>
    </row>
    <row r="6" spans="1:2" x14ac:dyDescent="0.3">
      <c r="A6" s="15" t="s">
        <v>57</v>
      </c>
      <c r="B6">
        <v>2</v>
      </c>
    </row>
    <row r="7" spans="1:2" x14ac:dyDescent="0.3">
      <c r="A7" s="15" t="s">
        <v>558</v>
      </c>
      <c r="B7">
        <v>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6"/>
  <sheetViews>
    <sheetView workbookViewId="0">
      <selection activeCell="N29" sqref="N29"/>
    </sheetView>
  </sheetViews>
  <sheetFormatPr defaultRowHeight="15.6" x14ac:dyDescent="0.3"/>
  <cols>
    <col min="1" max="1" width="12.296875" customWidth="1"/>
    <col min="2" max="2" width="13.5" customWidth="1"/>
  </cols>
  <sheetData>
    <row r="3" spans="1:2" x14ac:dyDescent="0.3">
      <c r="A3" s="14" t="s">
        <v>557</v>
      </c>
      <c r="B3" t="s">
        <v>560</v>
      </c>
    </row>
    <row r="4" spans="1:2" x14ac:dyDescent="0.3">
      <c r="A4" s="15" t="s">
        <v>19</v>
      </c>
      <c r="B4">
        <v>186</v>
      </c>
    </row>
    <row r="5" spans="1:2" x14ac:dyDescent="0.3">
      <c r="A5" s="15" t="s">
        <v>25</v>
      </c>
      <c r="B5">
        <v>214</v>
      </c>
    </row>
    <row r="6" spans="1:2" x14ac:dyDescent="0.3">
      <c r="A6" s="15" t="s">
        <v>558</v>
      </c>
      <c r="B6">
        <v>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6"/>
  <sheetViews>
    <sheetView zoomScale="115" zoomScaleNormal="115" workbookViewId="0">
      <selection activeCell="H25" sqref="H25"/>
    </sheetView>
  </sheetViews>
  <sheetFormatPr defaultRowHeight="15.6" x14ac:dyDescent="0.3"/>
  <cols>
    <col min="1" max="1" width="12.296875" customWidth="1"/>
    <col min="2" max="2" width="13.796875" customWidth="1"/>
  </cols>
  <sheetData>
    <row r="3" spans="1:2" x14ac:dyDescent="0.3">
      <c r="A3" s="14" t="s">
        <v>557</v>
      </c>
      <c r="B3" t="s">
        <v>559</v>
      </c>
    </row>
    <row r="4" spans="1:2" x14ac:dyDescent="0.3">
      <c r="A4" s="15" t="s">
        <v>19</v>
      </c>
      <c r="B4">
        <v>69</v>
      </c>
    </row>
    <row r="5" spans="1:2" x14ac:dyDescent="0.3">
      <c r="A5" s="15" t="s">
        <v>25</v>
      </c>
      <c r="B5">
        <v>331</v>
      </c>
    </row>
    <row r="6" spans="1:2" x14ac:dyDescent="0.3">
      <c r="A6" s="15" t="s">
        <v>558</v>
      </c>
      <c r="B6">
        <v>400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5"/>
  <sheetViews>
    <sheetView workbookViewId="0">
      <selection activeCell="A10" sqref="A10"/>
    </sheetView>
  </sheetViews>
  <sheetFormatPr defaultRowHeight="15.6" x14ac:dyDescent="0.3"/>
  <cols>
    <col min="1" max="1" width="15.09765625" customWidth="1"/>
    <col min="2" max="2" width="13.5" customWidth="1"/>
  </cols>
  <sheetData>
    <row r="3" spans="1:2" x14ac:dyDescent="0.3">
      <c r="A3" s="14" t="s">
        <v>557</v>
      </c>
      <c r="B3" t="s">
        <v>560</v>
      </c>
    </row>
    <row r="4" spans="1:2" x14ac:dyDescent="0.3">
      <c r="A4" s="15" t="s">
        <v>44</v>
      </c>
      <c r="B4">
        <v>17</v>
      </c>
    </row>
    <row r="5" spans="1:2" x14ac:dyDescent="0.3">
      <c r="A5" s="15" t="s">
        <v>103</v>
      </c>
      <c r="B5">
        <v>9</v>
      </c>
    </row>
    <row r="6" spans="1:2" x14ac:dyDescent="0.3">
      <c r="A6" s="15" t="s">
        <v>39</v>
      </c>
      <c r="B6">
        <v>28</v>
      </c>
    </row>
    <row r="7" spans="1:2" x14ac:dyDescent="0.3">
      <c r="A7" s="15" t="s">
        <v>72</v>
      </c>
      <c r="B7">
        <v>7</v>
      </c>
    </row>
    <row r="8" spans="1:2" x14ac:dyDescent="0.3">
      <c r="A8" s="15" t="s">
        <v>41</v>
      </c>
      <c r="B8">
        <v>7</v>
      </c>
    </row>
    <row r="9" spans="1:2" x14ac:dyDescent="0.3">
      <c r="A9" s="15" t="s">
        <v>389</v>
      </c>
      <c r="B9">
        <v>8</v>
      </c>
    </row>
    <row r="10" spans="1:2" x14ac:dyDescent="0.3">
      <c r="A10" s="15" t="s">
        <v>26</v>
      </c>
      <c r="B10">
        <v>53</v>
      </c>
    </row>
    <row r="11" spans="1:2" x14ac:dyDescent="0.3">
      <c r="A11" s="15" t="s">
        <v>55</v>
      </c>
      <c r="B11">
        <v>9</v>
      </c>
    </row>
    <row r="12" spans="1:2" x14ac:dyDescent="0.3">
      <c r="A12" s="15" t="s">
        <v>96</v>
      </c>
      <c r="B12">
        <v>6</v>
      </c>
    </row>
    <row r="13" spans="1:2" x14ac:dyDescent="0.3">
      <c r="A13" s="15" t="s">
        <v>53</v>
      </c>
      <c r="B13">
        <v>29</v>
      </c>
    </row>
    <row r="14" spans="1:2" x14ac:dyDescent="0.3">
      <c r="A14" s="15" t="s">
        <v>69</v>
      </c>
      <c r="B14">
        <v>6</v>
      </c>
    </row>
    <row r="15" spans="1:2" x14ac:dyDescent="0.3">
      <c r="A15" s="15" t="s">
        <v>558</v>
      </c>
      <c r="B15">
        <v>179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Q403"/>
  <sheetViews>
    <sheetView topLeftCell="A20" zoomScale="85" zoomScaleNormal="85" workbookViewId="0">
      <selection activeCell="E42" sqref="E42"/>
    </sheetView>
  </sheetViews>
  <sheetFormatPr defaultRowHeight="15.6" x14ac:dyDescent="0.3"/>
  <cols>
    <col min="1" max="1" width="12.69921875" bestFit="1" customWidth="1"/>
    <col min="3" max="3" width="11.8984375" customWidth="1"/>
  </cols>
  <sheetData>
    <row r="3" spans="1:17" x14ac:dyDescent="0.3">
      <c r="A3" s="7" t="s">
        <v>1</v>
      </c>
      <c r="B3" s="6" t="s">
        <v>3</v>
      </c>
      <c r="C3" s="6" t="s">
        <v>2</v>
      </c>
    </row>
    <row r="4" spans="1:17" x14ac:dyDescent="0.3">
      <c r="A4" s="2">
        <v>499</v>
      </c>
      <c r="B4" s="5">
        <v>0.6</v>
      </c>
      <c r="C4" s="2">
        <v>199</v>
      </c>
    </row>
    <row r="5" spans="1:17" x14ac:dyDescent="0.3">
      <c r="A5" s="2">
        <v>599</v>
      </c>
      <c r="B5" s="5">
        <v>0.78</v>
      </c>
      <c r="C5" s="2">
        <v>130</v>
      </c>
      <c r="E5" s="18" t="s">
        <v>553</v>
      </c>
      <c r="F5" s="18"/>
      <c r="G5" s="18"/>
      <c r="H5" s="18"/>
      <c r="I5" s="18"/>
      <c r="J5" s="18"/>
      <c r="K5" s="18"/>
      <c r="L5" s="18"/>
      <c r="M5" s="18"/>
      <c r="N5" s="18"/>
      <c r="O5" s="18"/>
      <c r="P5" s="18"/>
      <c r="Q5" s="13"/>
    </row>
    <row r="6" spans="1:17" x14ac:dyDescent="0.3">
      <c r="A6" s="2">
        <v>499</v>
      </c>
      <c r="B6" s="5">
        <v>0.5</v>
      </c>
      <c r="C6" s="2">
        <v>249</v>
      </c>
      <c r="E6" s="18"/>
      <c r="F6" s="18"/>
      <c r="G6" s="18"/>
      <c r="H6" s="18"/>
      <c r="I6" s="18"/>
      <c r="J6" s="18"/>
      <c r="K6" s="18"/>
      <c r="L6" s="18"/>
      <c r="M6" s="18"/>
      <c r="N6" s="18"/>
      <c r="O6" s="18"/>
      <c r="P6" s="18"/>
      <c r="Q6" s="13"/>
    </row>
    <row r="7" spans="1:17" x14ac:dyDescent="0.3">
      <c r="A7" s="2">
        <v>399</v>
      </c>
      <c r="B7" s="5">
        <v>0.69</v>
      </c>
      <c r="C7" s="2">
        <v>120</v>
      </c>
    </row>
    <row r="8" spans="1:17" ht="15.6" customHeight="1" x14ac:dyDescent="0.3">
      <c r="A8" s="2">
        <v>398</v>
      </c>
      <c r="B8" s="5">
        <v>0.68</v>
      </c>
      <c r="C8" s="2">
        <v>124</v>
      </c>
      <c r="E8" s="22" t="s">
        <v>554</v>
      </c>
      <c r="F8" s="22"/>
      <c r="G8" s="22"/>
      <c r="H8" s="22"/>
      <c r="I8" s="22"/>
      <c r="J8" s="22"/>
      <c r="K8" s="22"/>
      <c r="L8" s="22"/>
      <c r="M8" s="22"/>
      <c r="N8" s="22"/>
      <c r="O8" s="22"/>
      <c r="P8" s="22"/>
      <c r="Q8" s="22"/>
    </row>
    <row r="9" spans="1:17" ht="15.6" customHeight="1" x14ac:dyDescent="0.3">
      <c r="A9" s="2">
        <v>599</v>
      </c>
      <c r="B9" s="5">
        <v>0.79</v>
      </c>
      <c r="C9" s="2">
        <v>120</v>
      </c>
      <c r="E9" s="22"/>
      <c r="F9" s="22"/>
      <c r="G9" s="22"/>
      <c r="H9" s="22"/>
      <c r="I9" s="22"/>
      <c r="J9" s="22"/>
      <c r="K9" s="22"/>
      <c r="L9" s="22"/>
      <c r="M9" s="22"/>
      <c r="N9" s="22"/>
      <c r="O9" s="22"/>
      <c r="P9" s="22"/>
      <c r="Q9" s="22"/>
    </row>
    <row r="10" spans="1:17" ht="15.6" customHeight="1" x14ac:dyDescent="0.3">
      <c r="A10" s="2">
        <v>489</v>
      </c>
      <c r="B10" s="5">
        <v>0.74</v>
      </c>
      <c r="C10" s="2">
        <v>125</v>
      </c>
      <c r="E10" s="22"/>
      <c r="F10" s="22"/>
      <c r="G10" s="22"/>
      <c r="H10" s="22"/>
      <c r="I10" s="22"/>
      <c r="J10" s="22"/>
      <c r="K10" s="22"/>
      <c r="L10" s="22"/>
      <c r="M10" s="22"/>
      <c r="N10" s="22"/>
      <c r="O10" s="22"/>
      <c r="P10" s="22"/>
      <c r="Q10" s="22"/>
    </row>
    <row r="11" spans="1:17" ht="15.6" customHeight="1" x14ac:dyDescent="0.3">
      <c r="A11" s="2">
        <v>499</v>
      </c>
      <c r="B11" s="5">
        <v>0.72</v>
      </c>
      <c r="C11" s="2">
        <v>135</v>
      </c>
      <c r="E11" s="22"/>
      <c r="F11" s="22"/>
      <c r="G11" s="22"/>
      <c r="H11" s="22"/>
      <c r="I11" s="22"/>
      <c r="J11" s="22"/>
      <c r="K11" s="22"/>
      <c r="L11" s="22"/>
      <c r="M11" s="22"/>
      <c r="N11" s="22"/>
      <c r="O11" s="22"/>
      <c r="P11" s="22"/>
      <c r="Q11" s="22"/>
    </row>
    <row r="12" spans="1:17" x14ac:dyDescent="0.3">
      <c r="A12" s="2">
        <v>499</v>
      </c>
      <c r="B12" s="5">
        <v>0.75</v>
      </c>
      <c r="C12" s="2">
        <v>121</v>
      </c>
      <c r="F12" s="19"/>
      <c r="G12" s="19"/>
      <c r="H12" s="19"/>
      <c r="I12" s="19"/>
      <c r="J12" s="19"/>
      <c r="K12" s="19"/>
      <c r="L12" s="19"/>
      <c r="M12" s="19"/>
      <c r="N12" s="19"/>
    </row>
    <row r="13" spans="1:17" x14ac:dyDescent="0.3">
      <c r="A13" s="2">
        <v>499</v>
      </c>
      <c r="B13" s="5">
        <v>0.74</v>
      </c>
      <c r="C13" s="2">
        <v>125</v>
      </c>
    </row>
    <row r="14" spans="1:17" x14ac:dyDescent="0.3">
      <c r="A14" s="2">
        <v>299</v>
      </c>
      <c r="B14" s="5">
        <v>0.56000000000000005</v>
      </c>
      <c r="C14" s="2">
        <v>130</v>
      </c>
    </row>
    <row r="15" spans="1:17" ht="15.6" customHeight="1" x14ac:dyDescent="0.3">
      <c r="A15" s="2">
        <v>499</v>
      </c>
      <c r="B15" s="5">
        <v>0.74</v>
      </c>
      <c r="C15" s="2">
        <v>128</v>
      </c>
      <c r="F15" s="18" t="s">
        <v>555</v>
      </c>
      <c r="G15" s="18"/>
      <c r="H15" s="18"/>
      <c r="I15" s="18"/>
      <c r="J15" s="18"/>
      <c r="K15" s="18"/>
      <c r="L15" s="18"/>
      <c r="M15" s="18"/>
      <c r="N15" s="18"/>
      <c r="O15" s="18"/>
      <c r="P15" s="18"/>
    </row>
    <row r="16" spans="1:17" ht="15.6" customHeight="1" x14ac:dyDescent="0.3">
      <c r="A16" s="2">
        <v>405</v>
      </c>
      <c r="B16" s="5">
        <v>0.67</v>
      </c>
      <c r="C16" s="2">
        <v>130</v>
      </c>
      <c r="F16" s="18"/>
      <c r="G16" s="18"/>
      <c r="H16" s="18"/>
      <c r="I16" s="18"/>
      <c r="J16" s="18"/>
      <c r="K16" s="18"/>
      <c r="L16" s="18"/>
      <c r="M16" s="18"/>
      <c r="N16" s="18"/>
      <c r="O16" s="18"/>
      <c r="P16" s="18"/>
    </row>
    <row r="17" spans="1:16" x14ac:dyDescent="0.3">
      <c r="A17" s="2">
        <v>499</v>
      </c>
      <c r="B17" s="5">
        <v>0.44</v>
      </c>
      <c r="C17" s="2">
        <v>279</v>
      </c>
    </row>
    <row r="18" spans="1:16" x14ac:dyDescent="0.3">
      <c r="A18" s="2">
        <v>499</v>
      </c>
      <c r="B18" s="5">
        <v>0.71</v>
      </c>
      <c r="C18" s="2">
        <v>140</v>
      </c>
      <c r="F18" s="20" t="s">
        <v>556</v>
      </c>
      <c r="G18" s="21"/>
      <c r="H18" s="21"/>
      <c r="I18" s="21"/>
      <c r="J18" s="21"/>
      <c r="K18" s="21"/>
      <c r="L18" s="21"/>
      <c r="M18" s="21"/>
      <c r="N18" s="21"/>
      <c r="O18" s="21"/>
      <c r="P18" s="21"/>
    </row>
    <row r="19" spans="1:16" x14ac:dyDescent="0.3">
      <c r="A19" s="2">
        <v>799</v>
      </c>
      <c r="B19" s="5">
        <v>0.84</v>
      </c>
      <c r="C19" s="2">
        <v>126</v>
      </c>
      <c r="F19" s="21"/>
      <c r="G19" s="21"/>
      <c r="H19" s="21"/>
      <c r="I19" s="21"/>
      <c r="J19" s="21"/>
      <c r="K19" s="21"/>
      <c r="L19" s="21"/>
      <c r="M19" s="21"/>
      <c r="N19" s="21"/>
      <c r="O19" s="21"/>
      <c r="P19" s="21"/>
    </row>
    <row r="20" spans="1:16" x14ac:dyDescent="0.3">
      <c r="A20" s="2">
        <v>422</v>
      </c>
      <c r="B20" s="5">
        <v>0.71</v>
      </c>
      <c r="C20" s="2">
        <v>120</v>
      </c>
      <c r="F20" s="21"/>
      <c r="G20" s="21"/>
      <c r="H20" s="21"/>
      <c r="I20" s="21"/>
      <c r="J20" s="21"/>
      <c r="K20" s="21"/>
      <c r="L20" s="21"/>
      <c r="M20" s="21"/>
      <c r="N20" s="21"/>
      <c r="O20" s="21"/>
      <c r="P20" s="21"/>
    </row>
    <row r="21" spans="1:16" x14ac:dyDescent="0.3">
      <c r="A21" s="2">
        <v>449</v>
      </c>
      <c r="B21" s="5">
        <v>0.6</v>
      </c>
      <c r="C21" s="2">
        <v>179</v>
      </c>
      <c r="F21" s="21"/>
      <c r="G21" s="21"/>
      <c r="H21" s="21"/>
      <c r="I21" s="21"/>
      <c r="J21" s="21"/>
      <c r="K21" s="21"/>
      <c r="L21" s="21"/>
      <c r="M21" s="21"/>
      <c r="N21" s="21"/>
      <c r="O21" s="21"/>
      <c r="P21" s="21"/>
    </row>
    <row r="22" spans="1:16" x14ac:dyDescent="0.3">
      <c r="A22" s="2">
        <v>399</v>
      </c>
      <c r="B22" s="5">
        <v>0.53</v>
      </c>
      <c r="C22" s="2">
        <v>186</v>
      </c>
    </row>
    <row r="23" spans="1:16" x14ac:dyDescent="0.3">
      <c r="A23" s="2">
        <v>399</v>
      </c>
      <c r="B23" s="5">
        <v>0.53</v>
      </c>
      <c r="C23" s="2">
        <v>185</v>
      </c>
    </row>
    <row r="24" spans="1:16" x14ac:dyDescent="0.3">
      <c r="A24" s="2">
        <v>399</v>
      </c>
      <c r="B24" s="5">
        <v>0.59</v>
      </c>
      <c r="C24" s="2">
        <v>160</v>
      </c>
    </row>
    <row r="25" spans="1:16" x14ac:dyDescent="0.3">
      <c r="A25" s="2">
        <v>399</v>
      </c>
      <c r="B25" s="5">
        <v>0.7</v>
      </c>
      <c r="C25" s="2">
        <v>119</v>
      </c>
    </row>
    <row r="26" spans="1:16" x14ac:dyDescent="0.3">
      <c r="A26" s="2">
        <v>235</v>
      </c>
      <c r="B26" s="5">
        <v>0.4</v>
      </c>
      <c r="C26" s="2">
        <v>139</v>
      </c>
      <c r="E26" s="3">
        <f>MEDIAN(A4:A403)</f>
        <v>499</v>
      </c>
      <c r="F26">
        <f>MODE(A4:A403)</f>
        <v>499</v>
      </c>
      <c r="G26" s="3">
        <f>AVERAGE(A4:A403)</f>
        <v>520.33749999999998</v>
      </c>
    </row>
    <row r="27" spans="1:16" x14ac:dyDescent="0.3">
      <c r="A27" s="2">
        <v>299</v>
      </c>
      <c r="B27" s="5">
        <v>0.6</v>
      </c>
      <c r="C27" s="2">
        <v>118</v>
      </c>
    </row>
    <row r="28" spans="1:16" x14ac:dyDescent="0.3">
      <c r="A28" s="2">
        <v>599</v>
      </c>
      <c r="B28" s="5">
        <v>0.75</v>
      </c>
      <c r="C28" s="2">
        <v>149</v>
      </c>
    </row>
    <row r="29" spans="1:16" x14ac:dyDescent="0.3">
      <c r="A29" s="2">
        <v>663</v>
      </c>
      <c r="B29" s="5">
        <v>0.82</v>
      </c>
      <c r="C29" s="2">
        <v>118</v>
      </c>
    </row>
    <row r="30" spans="1:16" x14ac:dyDescent="0.3">
      <c r="A30" s="2">
        <v>399</v>
      </c>
      <c r="B30" s="5">
        <v>0.69</v>
      </c>
      <c r="C30" s="2">
        <v>123</v>
      </c>
    </row>
    <row r="31" spans="1:16" x14ac:dyDescent="0.3">
      <c r="A31" s="2">
        <v>349</v>
      </c>
      <c r="B31" s="5">
        <v>0.63</v>
      </c>
      <c r="C31" s="2">
        <v>126</v>
      </c>
    </row>
    <row r="32" spans="1:16" x14ac:dyDescent="0.3">
      <c r="A32" s="2">
        <v>999</v>
      </c>
      <c r="B32" s="5">
        <v>0.5</v>
      </c>
      <c r="C32" s="2">
        <v>499</v>
      </c>
    </row>
    <row r="33" spans="1:3" x14ac:dyDescent="0.3">
      <c r="A33" s="2">
        <v>499</v>
      </c>
      <c r="B33" s="5">
        <v>0.75</v>
      </c>
      <c r="C33" s="2">
        <v>121</v>
      </c>
    </row>
    <row r="34" spans="1:3" x14ac:dyDescent="0.3">
      <c r="A34" s="2">
        <v>299</v>
      </c>
      <c r="B34" s="5">
        <v>0.61</v>
      </c>
      <c r="C34" s="2">
        <v>115</v>
      </c>
    </row>
    <row r="35" spans="1:3" x14ac:dyDescent="0.3">
      <c r="A35" s="2">
        <v>499</v>
      </c>
      <c r="B35" s="5">
        <v>0.71</v>
      </c>
      <c r="C35" s="2">
        <v>140</v>
      </c>
    </row>
    <row r="36" spans="1:3" x14ac:dyDescent="0.3">
      <c r="A36" s="2">
        <v>399</v>
      </c>
      <c r="B36" s="5">
        <v>0.64</v>
      </c>
      <c r="C36" s="2">
        <v>140</v>
      </c>
    </row>
    <row r="37" spans="1:3" x14ac:dyDescent="0.3">
      <c r="A37" s="2">
        <v>489</v>
      </c>
      <c r="B37" s="5">
        <v>0.71</v>
      </c>
      <c r="C37" s="2">
        <v>140</v>
      </c>
    </row>
    <row r="38" spans="1:3" x14ac:dyDescent="0.3">
      <c r="A38" s="2">
        <v>599</v>
      </c>
      <c r="B38" s="5">
        <v>0.79</v>
      </c>
      <c r="C38" s="2">
        <v>123</v>
      </c>
    </row>
    <row r="39" spans="1:3" x14ac:dyDescent="0.3">
      <c r="A39" s="2">
        <v>549</v>
      </c>
      <c r="B39" s="5">
        <v>0.76</v>
      </c>
      <c r="C39" s="2">
        <v>127</v>
      </c>
    </row>
    <row r="40" spans="1:3" x14ac:dyDescent="0.3">
      <c r="A40" s="2">
        <v>299</v>
      </c>
      <c r="B40" s="5">
        <v>0.39</v>
      </c>
      <c r="C40" s="2">
        <v>180</v>
      </c>
    </row>
    <row r="41" spans="1:3" x14ac:dyDescent="0.3">
      <c r="A41" s="2">
        <v>399</v>
      </c>
      <c r="B41" s="5">
        <v>0.67</v>
      </c>
      <c r="C41" s="2">
        <v>130</v>
      </c>
    </row>
    <row r="42" spans="1:3" x14ac:dyDescent="0.3">
      <c r="A42" s="2">
        <v>499</v>
      </c>
      <c r="B42" s="5">
        <v>0.48</v>
      </c>
      <c r="C42" s="2">
        <v>258</v>
      </c>
    </row>
    <row r="43" spans="1:3" x14ac:dyDescent="0.3">
      <c r="A43" s="2">
        <v>599</v>
      </c>
      <c r="B43" s="5">
        <v>0.79</v>
      </c>
      <c r="C43" s="2">
        <v>125</v>
      </c>
    </row>
    <row r="44" spans="1:3" x14ac:dyDescent="0.3">
      <c r="A44" s="2">
        <v>999</v>
      </c>
      <c r="B44" s="5">
        <v>0.87</v>
      </c>
      <c r="C44" s="2">
        <v>125</v>
      </c>
    </row>
    <row r="45" spans="1:3" x14ac:dyDescent="0.3">
      <c r="A45" s="2">
        <v>499</v>
      </c>
      <c r="B45" s="5">
        <v>0.48</v>
      </c>
      <c r="C45" s="2">
        <v>258</v>
      </c>
    </row>
    <row r="46" spans="1:3" x14ac:dyDescent="0.3">
      <c r="A46" s="2">
        <v>299</v>
      </c>
      <c r="B46" s="5">
        <v>0.39</v>
      </c>
      <c r="C46" s="2">
        <v>180</v>
      </c>
    </row>
    <row r="47" spans="1:3" x14ac:dyDescent="0.3">
      <c r="A47" s="2">
        <v>549</v>
      </c>
      <c r="B47" s="5">
        <v>0.76</v>
      </c>
      <c r="C47" s="2">
        <v>127</v>
      </c>
    </row>
    <row r="48" spans="1:3" x14ac:dyDescent="0.3">
      <c r="A48" s="2">
        <v>599</v>
      </c>
      <c r="B48" s="5">
        <v>0.79</v>
      </c>
      <c r="C48" s="2">
        <v>125</v>
      </c>
    </row>
    <row r="49" spans="1:3" x14ac:dyDescent="0.3">
      <c r="A49" s="2">
        <v>399</v>
      </c>
      <c r="B49" s="5">
        <v>0.67</v>
      </c>
      <c r="C49" s="2">
        <v>130</v>
      </c>
    </row>
    <row r="50" spans="1:3" x14ac:dyDescent="0.3">
      <c r="A50" s="2">
        <v>499</v>
      </c>
      <c r="B50" s="5">
        <v>0.62</v>
      </c>
      <c r="C50" s="2">
        <v>189</v>
      </c>
    </row>
    <row r="51" spans="1:3" x14ac:dyDescent="0.3">
      <c r="A51" s="2">
        <v>199</v>
      </c>
      <c r="B51" s="5">
        <v>0.33</v>
      </c>
      <c r="C51" s="2">
        <v>132</v>
      </c>
    </row>
    <row r="52" spans="1:3" x14ac:dyDescent="0.3">
      <c r="A52" s="2">
        <v>499</v>
      </c>
      <c r="B52" s="5">
        <v>0.75</v>
      </c>
      <c r="C52" s="2">
        <v>123</v>
      </c>
    </row>
    <row r="53" spans="1:3" x14ac:dyDescent="0.3">
      <c r="A53" s="2">
        <v>489</v>
      </c>
      <c r="B53" s="5">
        <v>0.66</v>
      </c>
      <c r="C53" s="2">
        <v>165</v>
      </c>
    </row>
    <row r="54" spans="1:3" x14ac:dyDescent="0.3">
      <c r="A54" s="2">
        <v>399</v>
      </c>
      <c r="B54" s="5">
        <v>0.35</v>
      </c>
      <c r="C54" s="2">
        <v>256</v>
      </c>
    </row>
    <row r="55" spans="1:3" x14ac:dyDescent="0.3">
      <c r="A55" s="2">
        <v>904</v>
      </c>
      <c r="B55" s="5">
        <v>0.78</v>
      </c>
      <c r="C55" s="2">
        <v>196</v>
      </c>
    </row>
    <row r="56" spans="1:3" x14ac:dyDescent="0.3">
      <c r="A56" s="2">
        <v>599</v>
      </c>
      <c r="B56" s="5">
        <v>0.79</v>
      </c>
      <c r="C56" s="2">
        <v>125</v>
      </c>
    </row>
    <row r="57" spans="1:3" x14ac:dyDescent="0.3">
      <c r="A57" s="2">
        <v>350</v>
      </c>
      <c r="B57" s="5">
        <v>0.64</v>
      </c>
      <c r="C57" s="2">
        <v>126</v>
      </c>
    </row>
    <row r="58" spans="1:3" x14ac:dyDescent="0.3">
      <c r="A58" s="2">
        <v>799</v>
      </c>
      <c r="B58" s="5">
        <v>0.52</v>
      </c>
      <c r="C58" s="2">
        <v>381</v>
      </c>
    </row>
    <row r="59" spans="1:3" x14ac:dyDescent="0.3">
      <c r="A59" s="2">
        <v>299</v>
      </c>
      <c r="B59" s="5">
        <v>0.61</v>
      </c>
      <c r="C59" s="2">
        <v>114</v>
      </c>
    </row>
    <row r="60" spans="1:3" x14ac:dyDescent="0.3">
      <c r="A60" s="2">
        <v>249</v>
      </c>
      <c r="B60" s="5">
        <v>0.51</v>
      </c>
      <c r="C60" s="2">
        <v>120</v>
      </c>
    </row>
    <row r="61" spans="1:3" x14ac:dyDescent="0.3">
      <c r="A61" s="2">
        <v>499</v>
      </c>
      <c r="B61" s="5">
        <v>0.68</v>
      </c>
      <c r="C61" s="2">
        <v>399</v>
      </c>
    </row>
    <row r="62" spans="1:3" x14ac:dyDescent="0.3">
      <c r="A62" s="2">
        <v>449</v>
      </c>
      <c r="B62" s="5">
        <v>0.33</v>
      </c>
      <c r="C62" s="2">
        <v>299</v>
      </c>
    </row>
    <row r="63" spans="1:3" x14ac:dyDescent="0.3">
      <c r="A63" s="2">
        <v>499</v>
      </c>
      <c r="B63" s="5">
        <v>0.72</v>
      </c>
      <c r="C63" s="2">
        <v>139</v>
      </c>
    </row>
    <row r="64" spans="1:3" x14ac:dyDescent="0.3">
      <c r="A64" s="2">
        <v>599</v>
      </c>
      <c r="B64" s="5">
        <v>0.62</v>
      </c>
      <c r="C64" s="2">
        <v>226</v>
      </c>
    </row>
    <row r="65" spans="1:3" x14ac:dyDescent="0.3">
      <c r="A65" s="2">
        <v>589</v>
      </c>
      <c r="B65" s="5">
        <v>0.78</v>
      </c>
      <c r="C65" s="2">
        <v>125</v>
      </c>
    </row>
    <row r="66" spans="1:3" x14ac:dyDescent="0.3">
      <c r="A66" s="2">
        <v>408</v>
      </c>
      <c r="B66" s="5">
        <v>0.71</v>
      </c>
      <c r="C66" s="2">
        <v>118</v>
      </c>
    </row>
    <row r="67" spans="1:3" x14ac:dyDescent="0.3">
      <c r="A67" s="2">
        <v>398</v>
      </c>
      <c r="B67" s="5">
        <v>0.7</v>
      </c>
      <c r="C67" s="2">
        <v>118</v>
      </c>
    </row>
    <row r="68" spans="1:3" x14ac:dyDescent="0.3">
      <c r="A68" s="2">
        <v>499</v>
      </c>
      <c r="B68" s="5">
        <v>0.7</v>
      </c>
      <c r="C68" s="2">
        <v>149</v>
      </c>
    </row>
    <row r="69" spans="1:3" x14ac:dyDescent="0.3">
      <c r="A69" s="2">
        <v>270</v>
      </c>
      <c r="B69" s="5">
        <v>0.51</v>
      </c>
      <c r="C69" s="2">
        <v>132</v>
      </c>
    </row>
    <row r="70" spans="1:3" x14ac:dyDescent="0.3">
      <c r="A70" s="2">
        <v>249</v>
      </c>
      <c r="B70" s="5">
        <v>0.52</v>
      </c>
      <c r="C70" s="2">
        <v>119</v>
      </c>
    </row>
    <row r="71" spans="1:3" x14ac:dyDescent="0.3">
      <c r="A71" s="2">
        <v>489</v>
      </c>
      <c r="B71" s="5">
        <v>0.69</v>
      </c>
      <c r="C71" s="2">
        <v>149</v>
      </c>
    </row>
    <row r="72" spans="1:3" x14ac:dyDescent="0.3">
      <c r="A72" s="2">
        <v>229</v>
      </c>
      <c r="B72" s="5">
        <v>0.47</v>
      </c>
      <c r="C72" s="2">
        <v>120</v>
      </c>
    </row>
    <row r="73" spans="1:3" x14ac:dyDescent="0.3">
      <c r="A73" s="2">
        <v>399</v>
      </c>
      <c r="B73" s="5">
        <v>0.59</v>
      </c>
      <c r="C73" s="2">
        <v>160</v>
      </c>
    </row>
    <row r="74" spans="1:3" x14ac:dyDescent="0.3">
      <c r="A74" s="2">
        <v>499</v>
      </c>
      <c r="B74" s="5">
        <v>0.72</v>
      </c>
      <c r="C74" s="2">
        <v>135</v>
      </c>
    </row>
    <row r="75" spans="1:3" x14ac:dyDescent="0.3">
      <c r="A75" s="2">
        <v>699</v>
      </c>
      <c r="B75" s="5">
        <v>0.81</v>
      </c>
      <c r="C75" s="2">
        <v>127</v>
      </c>
    </row>
    <row r="76" spans="1:3" x14ac:dyDescent="0.3">
      <c r="A76" s="2">
        <v>499</v>
      </c>
      <c r="B76" s="5">
        <v>0.75</v>
      </c>
      <c r="C76" s="2">
        <v>122</v>
      </c>
    </row>
    <row r="77" spans="1:3" x14ac:dyDescent="0.3">
      <c r="A77" s="2">
        <v>339</v>
      </c>
      <c r="B77" s="5">
        <v>0.66</v>
      </c>
      <c r="C77" s="2">
        <v>115</v>
      </c>
    </row>
    <row r="78" spans="1:3" x14ac:dyDescent="0.3">
      <c r="A78" s="2">
        <v>399</v>
      </c>
      <c r="B78" s="5">
        <v>0.7</v>
      </c>
      <c r="C78" s="2">
        <v>118</v>
      </c>
    </row>
    <row r="79" spans="1:3" x14ac:dyDescent="0.3">
      <c r="A79" s="2">
        <v>499</v>
      </c>
      <c r="B79" s="5">
        <v>0.75</v>
      </c>
      <c r="C79" s="2">
        <v>122</v>
      </c>
    </row>
    <row r="80" spans="1:3" x14ac:dyDescent="0.3">
      <c r="A80" s="2">
        <v>399</v>
      </c>
      <c r="B80" s="5">
        <v>0.68</v>
      </c>
      <c r="C80" s="2">
        <v>125</v>
      </c>
    </row>
    <row r="81" spans="1:3" x14ac:dyDescent="0.3">
      <c r="A81" s="2">
        <v>250</v>
      </c>
      <c r="B81" s="5">
        <v>0.52</v>
      </c>
      <c r="C81" s="2">
        <v>120</v>
      </c>
    </row>
    <row r="82" spans="1:3" x14ac:dyDescent="0.3">
      <c r="A82" s="2">
        <v>599</v>
      </c>
      <c r="B82" s="5">
        <v>0.8</v>
      </c>
      <c r="C82" s="2">
        <v>117</v>
      </c>
    </row>
    <row r="83" spans="1:3" x14ac:dyDescent="0.3">
      <c r="A83" s="2">
        <v>399</v>
      </c>
      <c r="B83" s="5">
        <v>0.66</v>
      </c>
      <c r="C83" s="2">
        <v>134</v>
      </c>
    </row>
    <row r="84" spans="1:3" x14ac:dyDescent="0.3">
      <c r="A84" s="2">
        <v>599</v>
      </c>
      <c r="B84" s="5">
        <v>0.77</v>
      </c>
      <c r="C84" s="2">
        <v>135</v>
      </c>
    </row>
    <row r="85" spans="1:3" x14ac:dyDescent="0.3">
      <c r="A85" s="2">
        <v>799</v>
      </c>
      <c r="B85" s="5">
        <v>0.81</v>
      </c>
      <c r="C85" s="2">
        <v>146</v>
      </c>
    </row>
    <row r="86" spans="1:3" x14ac:dyDescent="0.3">
      <c r="A86" s="2">
        <v>432</v>
      </c>
      <c r="B86" s="5">
        <v>0.68</v>
      </c>
      <c r="C86" s="2">
        <v>135</v>
      </c>
    </row>
    <row r="87" spans="1:3" x14ac:dyDescent="0.3">
      <c r="A87" s="2">
        <v>499</v>
      </c>
      <c r="B87" s="5">
        <v>0.76</v>
      </c>
      <c r="C87" s="2">
        <v>119</v>
      </c>
    </row>
    <row r="88" spans="1:3" x14ac:dyDescent="0.3">
      <c r="A88" s="2">
        <v>153</v>
      </c>
      <c r="B88" s="5">
        <v>0.26</v>
      </c>
      <c r="C88" s="2">
        <v>112</v>
      </c>
    </row>
    <row r="89" spans="1:3" x14ac:dyDescent="0.3">
      <c r="A89" s="2">
        <v>999</v>
      </c>
      <c r="B89" s="5">
        <v>0.85</v>
      </c>
      <c r="C89" s="2">
        <v>146</v>
      </c>
    </row>
    <row r="90" spans="1:3" x14ac:dyDescent="0.3">
      <c r="A90" s="2">
        <v>799</v>
      </c>
      <c r="B90" s="5">
        <v>0.5</v>
      </c>
      <c r="C90" s="2">
        <v>399</v>
      </c>
    </row>
    <row r="91" spans="1:3" x14ac:dyDescent="0.3">
      <c r="A91" s="2">
        <v>499</v>
      </c>
      <c r="B91" s="5">
        <v>0.61</v>
      </c>
      <c r="C91" s="2">
        <v>191</v>
      </c>
    </row>
    <row r="92" spans="1:3" x14ac:dyDescent="0.3">
      <c r="A92" s="2">
        <v>499</v>
      </c>
      <c r="B92" s="5">
        <v>0.75</v>
      </c>
      <c r="C92" s="2">
        <v>124</v>
      </c>
    </row>
    <row r="93" spans="1:3" x14ac:dyDescent="0.3">
      <c r="A93" s="2">
        <v>299</v>
      </c>
      <c r="B93" s="5">
        <v>0.46</v>
      </c>
      <c r="C93" s="2">
        <v>161</v>
      </c>
    </row>
    <row r="94" spans="1:3" x14ac:dyDescent="0.3">
      <c r="A94" s="2">
        <v>599</v>
      </c>
      <c r="B94" s="5">
        <v>0.79</v>
      </c>
      <c r="C94" s="2">
        <v>125</v>
      </c>
    </row>
    <row r="95" spans="1:3" x14ac:dyDescent="0.3">
      <c r="A95" s="2">
        <v>376</v>
      </c>
      <c r="B95" s="5">
        <v>0.67</v>
      </c>
      <c r="C95" s="2">
        <v>121</v>
      </c>
    </row>
    <row r="96" spans="1:3" x14ac:dyDescent="0.3">
      <c r="A96" s="2">
        <v>299</v>
      </c>
      <c r="B96" s="5">
        <v>0.36</v>
      </c>
      <c r="C96" s="2">
        <v>189</v>
      </c>
    </row>
    <row r="97" spans="1:3" x14ac:dyDescent="0.3">
      <c r="A97" s="2">
        <v>599</v>
      </c>
      <c r="B97" s="5">
        <v>0.63</v>
      </c>
      <c r="C97" s="2">
        <v>220</v>
      </c>
    </row>
    <row r="98" spans="1:3" x14ac:dyDescent="0.3">
      <c r="A98" s="2">
        <v>499</v>
      </c>
      <c r="B98" s="5">
        <v>0.4</v>
      </c>
      <c r="C98" s="2">
        <v>297</v>
      </c>
    </row>
    <row r="99" spans="1:3" x14ac:dyDescent="0.3">
      <c r="A99" s="2">
        <v>419</v>
      </c>
      <c r="B99" s="5">
        <v>0.68</v>
      </c>
      <c r="C99" s="2">
        <v>133</v>
      </c>
    </row>
    <row r="100" spans="1:3" x14ac:dyDescent="0.3">
      <c r="A100" s="2">
        <v>399</v>
      </c>
      <c r="B100" s="5">
        <v>0.56000000000000005</v>
      </c>
      <c r="C100" s="2">
        <v>174</v>
      </c>
    </row>
    <row r="101" spans="1:3" x14ac:dyDescent="0.3">
      <c r="A101" s="2">
        <v>598</v>
      </c>
      <c r="B101" s="5">
        <v>0.76</v>
      </c>
      <c r="C101" s="2">
        <v>139</v>
      </c>
    </row>
    <row r="102" spans="1:3" x14ac:dyDescent="0.3">
      <c r="A102" s="2">
        <v>299</v>
      </c>
      <c r="B102" s="5">
        <v>0.41</v>
      </c>
      <c r="C102" s="2">
        <v>175</v>
      </c>
    </row>
    <row r="103" spans="1:3" x14ac:dyDescent="0.3">
      <c r="A103" s="2">
        <v>499</v>
      </c>
      <c r="B103" s="5">
        <v>0.74</v>
      </c>
      <c r="C103" s="2">
        <v>125</v>
      </c>
    </row>
    <row r="104" spans="1:3" x14ac:dyDescent="0.3">
      <c r="A104" s="2">
        <v>398</v>
      </c>
      <c r="B104" s="5">
        <v>0.68</v>
      </c>
      <c r="C104" s="2">
        <v>124</v>
      </c>
    </row>
    <row r="105" spans="1:3" x14ac:dyDescent="0.3">
      <c r="A105" s="2">
        <v>313</v>
      </c>
      <c r="B105" s="5">
        <v>0.61</v>
      </c>
      <c r="C105" s="2">
        <v>120</v>
      </c>
    </row>
    <row r="106" spans="1:3" x14ac:dyDescent="0.3">
      <c r="A106" s="2">
        <v>399</v>
      </c>
      <c r="B106" s="5">
        <v>0.53</v>
      </c>
      <c r="C106" s="2">
        <v>185</v>
      </c>
    </row>
    <row r="107" spans="1:3" x14ac:dyDescent="0.3">
      <c r="A107" s="2">
        <v>599</v>
      </c>
      <c r="B107" s="5">
        <v>0.78</v>
      </c>
      <c r="C107" s="2">
        <v>126</v>
      </c>
    </row>
    <row r="108" spans="1:3" x14ac:dyDescent="0.3">
      <c r="A108" s="2">
        <v>1000</v>
      </c>
      <c r="B108" s="5">
        <v>0.83</v>
      </c>
      <c r="C108" s="2">
        <v>167</v>
      </c>
    </row>
    <row r="109" spans="1:3" x14ac:dyDescent="0.3">
      <c r="A109" s="2">
        <v>499</v>
      </c>
      <c r="B109" s="5">
        <v>0.68</v>
      </c>
      <c r="C109" s="2">
        <v>135</v>
      </c>
    </row>
    <row r="110" spans="1:3" x14ac:dyDescent="0.3">
      <c r="A110" s="2">
        <v>999</v>
      </c>
      <c r="B110" s="5">
        <v>0.7</v>
      </c>
      <c r="C110" s="2">
        <v>299</v>
      </c>
    </row>
    <row r="111" spans="1:3" x14ac:dyDescent="0.3">
      <c r="A111" s="2">
        <v>299</v>
      </c>
      <c r="B111" s="5">
        <v>0.57999999999999996</v>
      </c>
      <c r="C111" s="2">
        <v>125</v>
      </c>
    </row>
    <row r="112" spans="1:3" x14ac:dyDescent="0.3">
      <c r="A112" s="2">
        <v>499</v>
      </c>
      <c r="B112" s="5">
        <v>0.7</v>
      </c>
      <c r="C112" s="2">
        <v>145</v>
      </c>
    </row>
    <row r="113" spans="1:3" x14ac:dyDescent="0.3">
      <c r="A113" s="2">
        <v>492</v>
      </c>
      <c r="B113" s="5">
        <v>0.69</v>
      </c>
      <c r="C113" s="2">
        <v>152</v>
      </c>
    </row>
    <row r="114" spans="1:3" x14ac:dyDescent="0.3">
      <c r="A114" s="2">
        <v>399</v>
      </c>
      <c r="B114" s="5">
        <v>0.67</v>
      </c>
      <c r="C114" s="2">
        <v>130</v>
      </c>
    </row>
    <row r="115" spans="1:3" x14ac:dyDescent="0.3">
      <c r="A115" s="2">
        <v>599</v>
      </c>
      <c r="B115" s="5">
        <v>0.78</v>
      </c>
      <c r="C115" s="2">
        <v>130</v>
      </c>
    </row>
    <row r="116" spans="1:3" x14ac:dyDescent="0.3">
      <c r="A116" s="2">
        <v>499</v>
      </c>
      <c r="B116" s="5">
        <v>0.68</v>
      </c>
      <c r="C116" s="2">
        <v>135</v>
      </c>
    </row>
    <row r="117" spans="1:3" x14ac:dyDescent="0.3">
      <c r="A117" s="2">
        <v>899</v>
      </c>
      <c r="B117" s="5">
        <v>0.83</v>
      </c>
      <c r="C117" s="2">
        <v>146</v>
      </c>
    </row>
    <row r="118" spans="1:3" x14ac:dyDescent="0.3">
      <c r="A118" s="2">
        <v>499</v>
      </c>
      <c r="B118" s="5">
        <v>0.6</v>
      </c>
      <c r="C118" s="2">
        <v>199</v>
      </c>
    </row>
    <row r="119" spans="1:3" x14ac:dyDescent="0.3">
      <c r="A119" s="2">
        <v>499</v>
      </c>
      <c r="B119" s="5">
        <v>0.66</v>
      </c>
      <c r="C119" s="2">
        <v>169</v>
      </c>
    </row>
    <row r="120" spans="1:3" x14ac:dyDescent="0.3">
      <c r="A120" s="2">
        <v>498</v>
      </c>
      <c r="B120" s="5">
        <v>0.74</v>
      </c>
      <c r="C120" s="2">
        <v>128</v>
      </c>
    </row>
    <row r="121" spans="1:3" x14ac:dyDescent="0.3">
      <c r="A121" s="2">
        <v>599</v>
      </c>
      <c r="B121" s="5">
        <v>0.71</v>
      </c>
      <c r="C121" s="2">
        <v>169</v>
      </c>
    </row>
    <row r="122" spans="1:3" x14ac:dyDescent="0.3">
      <c r="A122" s="2">
        <v>499</v>
      </c>
      <c r="B122" s="5">
        <v>0.75</v>
      </c>
      <c r="C122" s="2">
        <v>120</v>
      </c>
    </row>
    <row r="123" spans="1:3" x14ac:dyDescent="0.3">
      <c r="A123" s="2">
        <v>500</v>
      </c>
      <c r="B123" s="5">
        <v>0.6</v>
      </c>
      <c r="C123" s="2">
        <v>199</v>
      </c>
    </row>
    <row r="124" spans="1:3" x14ac:dyDescent="0.3">
      <c r="A124" s="2">
        <v>489</v>
      </c>
      <c r="B124" s="5">
        <v>0.74</v>
      </c>
      <c r="C124" s="2">
        <v>123</v>
      </c>
    </row>
    <row r="125" spans="1:3" x14ac:dyDescent="0.3">
      <c r="A125" s="2">
        <v>399</v>
      </c>
      <c r="B125" s="5">
        <v>0.68</v>
      </c>
      <c r="C125" s="2">
        <v>127</v>
      </c>
    </row>
    <row r="126" spans="1:3" x14ac:dyDescent="0.3">
      <c r="A126" s="2">
        <v>1200</v>
      </c>
      <c r="B126" s="5">
        <v>0.88</v>
      </c>
      <c r="C126" s="2">
        <v>140</v>
      </c>
    </row>
    <row r="127" spans="1:3" x14ac:dyDescent="0.3">
      <c r="A127" s="2">
        <v>499</v>
      </c>
      <c r="B127" s="5">
        <v>0.73</v>
      </c>
      <c r="C127" s="2">
        <v>130</v>
      </c>
    </row>
    <row r="128" spans="1:3" x14ac:dyDescent="0.3">
      <c r="A128" s="2">
        <v>1099</v>
      </c>
      <c r="B128" s="5">
        <v>0.56000000000000005</v>
      </c>
      <c r="C128" s="2">
        <v>483</v>
      </c>
    </row>
    <row r="129" spans="1:3" x14ac:dyDescent="0.3">
      <c r="A129" s="2">
        <v>299</v>
      </c>
      <c r="B129" s="5">
        <v>0.39</v>
      </c>
      <c r="C129" s="2">
        <v>180</v>
      </c>
    </row>
    <row r="130" spans="1:3" x14ac:dyDescent="0.3">
      <c r="A130" s="2">
        <v>299</v>
      </c>
      <c r="B130" s="5">
        <v>0.16</v>
      </c>
      <c r="C130" s="2">
        <v>250</v>
      </c>
    </row>
    <row r="131" spans="1:3" x14ac:dyDescent="0.3">
      <c r="A131" s="2">
        <v>499</v>
      </c>
      <c r="B131" s="5">
        <v>0.72</v>
      </c>
      <c r="C131" s="2">
        <v>136</v>
      </c>
    </row>
    <row r="132" spans="1:3" x14ac:dyDescent="0.3">
      <c r="A132" s="2">
        <v>399</v>
      </c>
      <c r="B132" s="5">
        <v>0.56999999999999995</v>
      </c>
      <c r="C132" s="2">
        <v>170</v>
      </c>
    </row>
    <row r="133" spans="1:3" x14ac:dyDescent="0.3">
      <c r="A133" s="2">
        <v>249</v>
      </c>
      <c r="B133" s="5">
        <v>0.49</v>
      </c>
      <c r="C133" s="2">
        <v>125</v>
      </c>
    </row>
    <row r="134" spans="1:3" x14ac:dyDescent="0.3">
      <c r="A134" s="2">
        <v>499</v>
      </c>
      <c r="B134" s="5">
        <v>0.76</v>
      </c>
      <c r="C134" s="2">
        <v>115</v>
      </c>
    </row>
    <row r="135" spans="1:3" x14ac:dyDescent="0.3">
      <c r="A135" s="2">
        <v>399</v>
      </c>
      <c r="B135" s="5">
        <v>0.68</v>
      </c>
      <c r="C135" s="2">
        <v>127</v>
      </c>
    </row>
    <row r="136" spans="1:3" x14ac:dyDescent="0.3">
      <c r="A136" s="2">
        <v>299</v>
      </c>
      <c r="B136" s="5">
        <v>0.56000000000000005</v>
      </c>
      <c r="C136" s="2">
        <v>130</v>
      </c>
    </row>
    <row r="137" spans="1:3" x14ac:dyDescent="0.3">
      <c r="A137" s="2">
        <v>499</v>
      </c>
      <c r="B137" s="5">
        <v>0.74</v>
      </c>
      <c r="C137" s="2">
        <v>129</v>
      </c>
    </row>
    <row r="138" spans="1:3" x14ac:dyDescent="0.3">
      <c r="A138" s="2">
        <v>599</v>
      </c>
      <c r="B138" s="5">
        <v>0.76</v>
      </c>
      <c r="C138" s="2">
        <v>140</v>
      </c>
    </row>
    <row r="139" spans="1:3" x14ac:dyDescent="0.3">
      <c r="A139" s="2">
        <v>399</v>
      </c>
      <c r="B139" s="5">
        <v>0.57999999999999996</v>
      </c>
      <c r="C139" s="2">
        <v>165</v>
      </c>
    </row>
    <row r="140" spans="1:3" x14ac:dyDescent="0.3">
      <c r="A140" s="2">
        <v>499</v>
      </c>
      <c r="B140" s="5">
        <v>0.6</v>
      </c>
      <c r="C140" s="2">
        <v>196</v>
      </c>
    </row>
    <row r="141" spans="1:3" x14ac:dyDescent="0.3">
      <c r="A141" s="2">
        <v>599</v>
      </c>
      <c r="B141" s="5">
        <v>0.79</v>
      </c>
      <c r="C141" s="2">
        <v>120</v>
      </c>
    </row>
    <row r="142" spans="1:3" x14ac:dyDescent="0.3">
      <c r="A142" s="2">
        <v>499</v>
      </c>
      <c r="B142" s="5">
        <v>0.72</v>
      </c>
      <c r="C142" s="2">
        <v>138</v>
      </c>
    </row>
    <row r="143" spans="1:3" x14ac:dyDescent="0.3">
      <c r="A143" s="2">
        <v>599</v>
      </c>
      <c r="B143" s="5">
        <v>0.73</v>
      </c>
      <c r="C143" s="2">
        <v>160</v>
      </c>
    </row>
    <row r="144" spans="1:3" x14ac:dyDescent="0.3">
      <c r="A144" s="2">
        <v>499</v>
      </c>
      <c r="B144" s="5">
        <v>0.74</v>
      </c>
      <c r="C144" s="2">
        <v>125</v>
      </c>
    </row>
    <row r="145" spans="1:3" x14ac:dyDescent="0.3">
      <c r="A145" s="2">
        <v>499</v>
      </c>
      <c r="B145" s="5">
        <v>0.74</v>
      </c>
      <c r="C145" s="2">
        <v>125</v>
      </c>
    </row>
    <row r="146" spans="1:3" x14ac:dyDescent="0.3">
      <c r="A146" s="2">
        <v>499</v>
      </c>
      <c r="B146" s="5">
        <v>0.75</v>
      </c>
      <c r="C146" s="2">
        <v>122</v>
      </c>
    </row>
    <row r="147" spans="1:3" x14ac:dyDescent="0.3">
      <c r="A147" s="2">
        <v>799</v>
      </c>
      <c r="B147" s="5">
        <v>0.78</v>
      </c>
      <c r="C147" s="2">
        <v>173</v>
      </c>
    </row>
    <row r="148" spans="1:3" x14ac:dyDescent="0.3">
      <c r="A148" s="2">
        <v>489</v>
      </c>
      <c r="B148" s="5">
        <v>0.74</v>
      </c>
      <c r="C148" s="2">
        <v>123</v>
      </c>
    </row>
    <row r="149" spans="1:3" x14ac:dyDescent="0.3">
      <c r="A149" s="2">
        <v>598</v>
      </c>
      <c r="B149" s="5">
        <v>0.79</v>
      </c>
      <c r="C149" s="2">
        <v>121</v>
      </c>
    </row>
    <row r="150" spans="1:3" x14ac:dyDescent="0.3">
      <c r="A150" s="2">
        <v>849</v>
      </c>
      <c r="B150" s="5">
        <v>0.65</v>
      </c>
      <c r="C150" s="2">
        <v>294</v>
      </c>
    </row>
    <row r="151" spans="1:3" x14ac:dyDescent="0.3">
      <c r="A151" s="2">
        <v>399</v>
      </c>
      <c r="B151" s="5">
        <v>0.59</v>
      </c>
      <c r="C151" s="2">
        <v>160</v>
      </c>
    </row>
    <row r="152" spans="1:3" x14ac:dyDescent="0.3">
      <c r="A152" s="2">
        <v>499</v>
      </c>
      <c r="B152" s="5">
        <v>0.72</v>
      </c>
      <c r="C152" s="2">
        <v>135</v>
      </c>
    </row>
    <row r="153" spans="1:3" x14ac:dyDescent="0.3">
      <c r="A153" s="2">
        <v>299</v>
      </c>
      <c r="B153" s="5">
        <v>0.38</v>
      </c>
      <c r="C153" s="2">
        <v>183</v>
      </c>
    </row>
    <row r="154" spans="1:3" x14ac:dyDescent="0.3">
      <c r="A154" s="2">
        <v>349</v>
      </c>
      <c r="B154" s="5">
        <v>0.47</v>
      </c>
      <c r="C154" s="2">
        <v>182</v>
      </c>
    </row>
    <row r="155" spans="1:3" x14ac:dyDescent="0.3">
      <c r="A155" s="2">
        <v>599</v>
      </c>
      <c r="B155" s="5">
        <v>0.78</v>
      </c>
      <c r="C155" s="2">
        <v>126</v>
      </c>
    </row>
    <row r="156" spans="1:3" x14ac:dyDescent="0.3">
      <c r="A156" s="2">
        <v>399</v>
      </c>
      <c r="B156" s="5">
        <v>0.69</v>
      </c>
      <c r="C156" s="2">
        <v>123</v>
      </c>
    </row>
    <row r="157" spans="1:3" x14ac:dyDescent="0.3">
      <c r="A157" s="2">
        <v>298</v>
      </c>
      <c r="B157" s="5">
        <v>0.56999999999999995</v>
      </c>
      <c r="C157" s="2">
        <v>127</v>
      </c>
    </row>
    <row r="158" spans="1:3" x14ac:dyDescent="0.3">
      <c r="A158" s="2">
        <v>280</v>
      </c>
      <c r="B158" s="5">
        <v>0.44</v>
      </c>
      <c r="C158" s="2">
        <v>155</v>
      </c>
    </row>
    <row r="159" spans="1:3" x14ac:dyDescent="0.3">
      <c r="A159" s="2">
        <v>305</v>
      </c>
      <c r="B159" s="5">
        <v>0.6</v>
      </c>
      <c r="C159" s="2">
        <v>119</v>
      </c>
    </row>
    <row r="160" spans="1:3" x14ac:dyDescent="0.3">
      <c r="A160" s="2">
        <v>399</v>
      </c>
      <c r="B160" s="5">
        <v>0.6</v>
      </c>
      <c r="C160" s="2">
        <v>158</v>
      </c>
    </row>
    <row r="161" spans="1:3" x14ac:dyDescent="0.3">
      <c r="A161" s="2">
        <v>247</v>
      </c>
      <c r="B161" s="5">
        <v>0.51</v>
      </c>
      <c r="C161" s="2">
        <v>119</v>
      </c>
    </row>
    <row r="162" spans="1:3" x14ac:dyDescent="0.3">
      <c r="A162" s="2">
        <v>450</v>
      </c>
      <c r="B162" s="5">
        <v>0.7</v>
      </c>
      <c r="C162" s="2">
        <v>131</v>
      </c>
    </row>
    <row r="163" spans="1:3" x14ac:dyDescent="0.3">
      <c r="A163" s="2">
        <v>439</v>
      </c>
      <c r="B163" s="5">
        <v>0.72</v>
      </c>
      <c r="C163" s="2">
        <v>119</v>
      </c>
    </row>
    <row r="164" spans="1:3" x14ac:dyDescent="0.3">
      <c r="A164" s="2">
        <v>599</v>
      </c>
      <c r="B164" s="5">
        <v>0.78</v>
      </c>
      <c r="C164" s="2">
        <v>126</v>
      </c>
    </row>
    <row r="165" spans="1:3" x14ac:dyDescent="0.3">
      <c r="A165" s="2">
        <v>399</v>
      </c>
      <c r="B165" s="5">
        <v>0.68</v>
      </c>
      <c r="C165" s="2">
        <v>126</v>
      </c>
    </row>
    <row r="166" spans="1:3" x14ac:dyDescent="0.3">
      <c r="A166" s="2">
        <v>298</v>
      </c>
      <c r="B166" s="5">
        <v>0.57999999999999996</v>
      </c>
      <c r="C166" s="2">
        <v>123</v>
      </c>
    </row>
    <row r="167" spans="1:3" x14ac:dyDescent="0.3">
      <c r="A167" s="2">
        <v>499</v>
      </c>
      <c r="B167" s="5">
        <v>0.74</v>
      </c>
      <c r="C167" s="2">
        <v>126</v>
      </c>
    </row>
    <row r="168" spans="1:3" x14ac:dyDescent="0.3">
      <c r="A168" s="2">
        <v>499</v>
      </c>
      <c r="B168" s="5">
        <v>0.75</v>
      </c>
      <c r="C168" s="2">
        <v>123</v>
      </c>
    </row>
    <row r="169" spans="1:3" x14ac:dyDescent="0.3">
      <c r="A169" s="2">
        <v>389</v>
      </c>
      <c r="B169" s="5">
        <v>0.57999999999999996</v>
      </c>
      <c r="C169" s="2">
        <v>161</v>
      </c>
    </row>
    <row r="170" spans="1:3" x14ac:dyDescent="0.3">
      <c r="A170" s="2">
        <v>445</v>
      </c>
      <c r="B170" s="5">
        <v>0.32</v>
      </c>
      <c r="C170" s="2">
        <v>299</v>
      </c>
    </row>
    <row r="171" spans="1:3" x14ac:dyDescent="0.3">
      <c r="A171" s="2">
        <v>399</v>
      </c>
      <c r="B171" s="5">
        <v>0.65</v>
      </c>
      <c r="C171" s="2">
        <v>137</v>
      </c>
    </row>
    <row r="172" spans="1:3" x14ac:dyDescent="0.3">
      <c r="A172" s="2">
        <v>499</v>
      </c>
      <c r="B172" s="5">
        <v>0.75</v>
      </c>
      <c r="C172" s="2">
        <v>122</v>
      </c>
    </row>
    <row r="173" spans="1:3" x14ac:dyDescent="0.3">
      <c r="A173" s="2">
        <v>599</v>
      </c>
      <c r="B173" s="5">
        <v>0.79</v>
      </c>
      <c r="C173" s="2">
        <v>125</v>
      </c>
    </row>
    <row r="174" spans="1:3" x14ac:dyDescent="0.3">
      <c r="A174" s="2">
        <v>499</v>
      </c>
      <c r="B174" s="5">
        <v>0.74</v>
      </c>
      <c r="C174" s="2">
        <v>129</v>
      </c>
    </row>
    <row r="175" spans="1:3" x14ac:dyDescent="0.3">
      <c r="A175" s="2">
        <v>499</v>
      </c>
      <c r="B175" s="5">
        <v>0.76</v>
      </c>
      <c r="C175" s="2">
        <v>119</v>
      </c>
    </row>
    <row r="176" spans="1:3" x14ac:dyDescent="0.3">
      <c r="A176" s="2">
        <v>800</v>
      </c>
      <c r="B176" s="5">
        <v>0.51</v>
      </c>
      <c r="C176" s="2">
        <v>390</v>
      </c>
    </row>
    <row r="177" spans="1:3" x14ac:dyDescent="0.3">
      <c r="A177" s="2">
        <v>251</v>
      </c>
      <c r="B177" s="5">
        <v>0.52</v>
      </c>
      <c r="C177" s="2">
        <v>118</v>
      </c>
    </row>
    <row r="178" spans="1:3" x14ac:dyDescent="0.3">
      <c r="A178" s="2">
        <v>499</v>
      </c>
      <c r="B178" s="5">
        <v>0.56999999999999995</v>
      </c>
      <c r="C178" s="2">
        <v>210</v>
      </c>
    </row>
    <row r="179" spans="1:3" x14ac:dyDescent="0.3">
      <c r="A179" s="2">
        <v>425</v>
      </c>
      <c r="B179" s="5">
        <v>0.71</v>
      </c>
      <c r="C179" s="2">
        <v>122</v>
      </c>
    </row>
    <row r="180" spans="1:3" x14ac:dyDescent="0.3">
      <c r="A180" s="2">
        <v>399</v>
      </c>
      <c r="B180" s="5">
        <v>0.64</v>
      </c>
      <c r="C180" s="2">
        <v>142</v>
      </c>
    </row>
    <row r="181" spans="1:3" x14ac:dyDescent="0.3">
      <c r="A181" s="2">
        <v>849</v>
      </c>
      <c r="B181" s="5">
        <v>0.82</v>
      </c>
      <c r="C181" s="2">
        <v>145</v>
      </c>
    </row>
    <row r="182" spans="1:3" x14ac:dyDescent="0.3">
      <c r="A182" s="2">
        <v>384</v>
      </c>
      <c r="B182" s="5">
        <v>0.63</v>
      </c>
      <c r="C182" s="2">
        <v>140</v>
      </c>
    </row>
    <row r="183" spans="1:3" x14ac:dyDescent="0.3">
      <c r="A183" s="2">
        <v>599</v>
      </c>
      <c r="B183" s="5">
        <v>0.78</v>
      </c>
      <c r="C183" s="2">
        <v>129</v>
      </c>
    </row>
    <row r="184" spans="1:3" x14ac:dyDescent="0.3">
      <c r="A184" s="2">
        <v>299</v>
      </c>
      <c r="B184" s="5">
        <v>0.56999999999999995</v>
      </c>
      <c r="C184" s="2">
        <v>126</v>
      </c>
    </row>
    <row r="185" spans="1:3" x14ac:dyDescent="0.3">
      <c r="A185" s="2">
        <v>499</v>
      </c>
      <c r="B185" s="5">
        <v>0.74</v>
      </c>
      <c r="C185" s="2">
        <v>126</v>
      </c>
    </row>
    <row r="186" spans="1:3" x14ac:dyDescent="0.3">
      <c r="A186" s="2">
        <v>1200</v>
      </c>
      <c r="B186" s="5">
        <v>0.88</v>
      </c>
      <c r="C186" s="2">
        <v>133</v>
      </c>
    </row>
    <row r="187" spans="1:3" x14ac:dyDescent="0.3">
      <c r="A187" s="2">
        <v>599</v>
      </c>
      <c r="B187" s="5">
        <v>0.79</v>
      </c>
      <c r="C187" s="2">
        <v>125</v>
      </c>
    </row>
    <row r="188" spans="1:3" x14ac:dyDescent="0.3">
      <c r="A188" s="2">
        <v>799</v>
      </c>
      <c r="B188" s="5">
        <v>0.78</v>
      </c>
      <c r="C188" s="2">
        <v>174</v>
      </c>
    </row>
    <row r="189" spans="1:3" x14ac:dyDescent="0.3">
      <c r="A189" s="2">
        <v>299</v>
      </c>
      <c r="B189" s="5">
        <v>0.54</v>
      </c>
      <c r="C189" s="2">
        <v>135</v>
      </c>
    </row>
    <row r="190" spans="1:3" x14ac:dyDescent="0.3">
      <c r="A190" s="2">
        <v>1999</v>
      </c>
      <c r="B190" s="5">
        <v>0.7</v>
      </c>
      <c r="C190" s="2">
        <v>599</v>
      </c>
    </row>
    <row r="191" spans="1:3" x14ac:dyDescent="0.3">
      <c r="A191" s="2">
        <v>449</v>
      </c>
      <c r="B191" s="5">
        <v>0.67</v>
      </c>
      <c r="C191" s="2">
        <v>145</v>
      </c>
    </row>
    <row r="192" spans="1:3" x14ac:dyDescent="0.3">
      <c r="A192" s="2">
        <v>499</v>
      </c>
      <c r="B192" s="5">
        <v>0.72</v>
      </c>
      <c r="C192" s="2">
        <v>139</v>
      </c>
    </row>
    <row r="193" spans="1:3" x14ac:dyDescent="0.3">
      <c r="A193" s="2">
        <v>1200</v>
      </c>
      <c r="B193" s="5">
        <v>0.89</v>
      </c>
      <c r="C193" s="2">
        <v>125</v>
      </c>
    </row>
    <row r="194" spans="1:3" x14ac:dyDescent="0.3">
      <c r="A194" s="2">
        <v>295</v>
      </c>
      <c r="B194" s="5">
        <v>0.56000000000000005</v>
      </c>
      <c r="C194" s="2">
        <v>127</v>
      </c>
    </row>
    <row r="195" spans="1:3" x14ac:dyDescent="0.3">
      <c r="A195" s="2">
        <v>550</v>
      </c>
      <c r="B195" s="5">
        <v>0.5</v>
      </c>
      <c r="C195" s="2">
        <v>275</v>
      </c>
    </row>
    <row r="196" spans="1:3" x14ac:dyDescent="0.3">
      <c r="A196" s="2">
        <v>399</v>
      </c>
      <c r="B196" s="5">
        <v>0.68</v>
      </c>
      <c r="C196" s="2">
        <v>126</v>
      </c>
    </row>
    <row r="197" spans="1:3" x14ac:dyDescent="0.3">
      <c r="A197" s="2">
        <v>599</v>
      </c>
      <c r="B197" s="5">
        <v>0.78</v>
      </c>
      <c r="C197" s="2">
        <v>128</v>
      </c>
    </row>
    <row r="198" spans="1:3" x14ac:dyDescent="0.3">
      <c r="A198" s="2">
        <v>1399</v>
      </c>
      <c r="B198" s="5">
        <v>0.9</v>
      </c>
      <c r="C198" s="2">
        <v>129</v>
      </c>
    </row>
    <row r="199" spans="1:3" x14ac:dyDescent="0.3">
      <c r="A199" s="2">
        <v>399</v>
      </c>
      <c r="B199" s="5">
        <v>0.68</v>
      </c>
      <c r="C199" s="2">
        <v>127</v>
      </c>
    </row>
    <row r="200" spans="1:3" x14ac:dyDescent="0.3">
      <c r="A200" s="2">
        <v>499</v>
      </c>
      <c r="B200" s="5">
        <v>0.74</v>
      </c>
      <c r="C200" s="2">
        <v>128</v>
      </c>
    </row>
    <row r="201" spans="1:3" x14ac:dyDescent="0.3">
      <c r="A201" s="2">
        <v>349</v>
      </c>
      <c r="B201" s="5">
        <v>0.53</v>
      </c>
      <c r="C201" s="2">
        <v>163</v>
      </c>
    </row>
    <row r="202" spans="1:3" x14ac:dyDescent="0.3">
      <c r="A202" s="2">
        <v>788</v>
      </c>
      <c r="B202" s="5">
        <v>0.83</v>
      </c>
      <c r="C202" s="2">
        <v>132</v>
      </c>
    </row>
    <row r="203" spans="1:3" x14ac:dyDescent="0.3">
      <c r="A203" s="2">
        <v>449</v>
      </c>
      <c r="B203" s="5">
        <v>0.68</v>
      </c>
      <c r="C203" s="2">
        <v>140</v>
      </c>
    </row>
    <row r="204" spans="1:3" x14ac:dyDescent="0.3">
      <c r="A204" s="2">
        <v>749</v>
      </c>
      <c r="B204" s="5">
        <v>0.82</v>
      </c>
      <c r="C204" s="2">
        <v>130</v>
      </c>
    </row>
    <row r="205" spans="1:3" x14ac:dyDescent="0.3">
      <c r="A205" s="2">
        <v>494</v>
      </c>
      <c r="B205" s="5">
        <v>0.73</v>
      </c>
      <c r="C205" s="2">
        <v>129</v>
      </c>
    </row>
    <row r="206" spans="1:3" x14ac:dyDescent="0.3">
      <c r="A206" s="2">
        <v>499</v>
      </c>
      <c r="B206" s="5">
        <v>0.68</v>
      </c>
      <c r="C206" s="2">
        <v>155</v>
      </c>
    </row>
    <row r="207" spans="1:3" x14ac:dyDescent="0.3">
      <c r="A207" s="2">
        <v>349</v>
      </c>
      <c r="B207" s="5">
        <v>0.31</v>
      </c>
      <c r="C207" s="2">
        <v>239</v>
      </c>
    </row>
    <row r="208" spans="1:3" x14ac:dyDescent="0.3">
      <c r="A208" s="2">
        <v>999</v>
      </c>
      <c r="B208" s="5">
        <v>0.87</v>
      </c>
      <c r="C208" s="2">
        <v>129</v>
      </c>
    </row>
    <row r="209" spans="1:3" x14ac:dyDescent="0.3">
      <c r="A209" s="2">
        <v>799</v>
      </c>
      <c r="B209" s="5">
        <v>0.83</v>
      </c>
      <c r="C209" s="2">
        <v>128</v>
      </c>
    </row>
    <row r="210" spans="1:3" x14ac:dyDescent="0.3">
      <c r="A210" s="2">
        <v>766</v>
      </c>
      <c r="B210" s="5">
        <v>0.83</v>
      </c>
      <c r="C210" s="2">
        <v>128</v>
      </c>
    </row>
    <row r="211" spans="1:3" x14ac:dyDescent="0.3">
      <c r="A211" s="2">
        <v>399</v>
      </c>
      <c r="B211" s="5">
        <v>0.68</v>
      </c>
      <c r="C211" s="2">
        <v>126</v>
      </c>
    </row>
    <row r="212" spans="1:3" x14ac:dyDescent="0.3">
      <c r="A212" s="2">
        <v>499</v>
      </c>
      <c r="B212" s="5">
        <v>0.72</v>
      </c>
      <c r="C212" s="2">
        <v>139</v>
      </c>
    </row>
    <row r="213" spans="1:3" x14ac:dyDescent="0.3">
      <c r="A213" s="2">
        <v>499</v>
      </c>
      <c r="B213" s="5">
        <v>0.67</v>
      </c>
      <c r="C213" s="2">
        <v>160</v>
      </c>
    </row>
    <row r="214" spans="1:3" x14ac:dyDescent="0.3">
      <c r="A214" s="2">
        <v>499</v>
      </c>
      <c r="B214" s="5">
        <v>0.72</v>
      </c>
      <c r="C214" s="2">
        <v>135</v>
      </c>
    </row>
    <row r="215" spans="1:3" x14ac:dyDescent="0.3">
      <c r="A215" s="2">
        <v>419</v>
      </c>
      <c r="B215" s="5">
        <v>0.7</v>
      </c>
      <c r="C215" s="2">
        <v>124</v>
      </c>
    </row>
    <row r="216" spans="1:3" x14ac:dyDescent="0.3">
      <c r="A216" s="2">
        <v>499</v>
      </c>
      <c r="B216" s="5">
        <v>0.74</v>
      </c>
      <c r="C216" s="2">
        <v>127</v>
      </c>
    </row>
    <row r="217" spans="1:3" x14ac:dyDescent="0.3">
      <c r="A217" s="2">
        <v>499</v>
      </c>
      <c r="B217" s="5">
        <v>0.73</v>
      </c>
      <c r="C217" s="2">
        <v>132</v>
      </c>
    </row>
    <row r="218" spans="1:3" x14ac:dyDescent="0.3">
      <c r="A218" s="2">
        <v>199</v>
      </c>
      <c r="B218" s="5">
        <v>0.36</v>
      </c>
      <c r="C218" s="2">
        <v>127</v>
      </c>
    </row>
    <row r="219" spans="1:3" x14ac:dyDescent="0.3">
      <c r="A219" s="2">
        <v>399</v>
      </c>
      <c r="B219" s="5">
        <v>0.64</v>
      </c>
      <c r="C219" s="2">
        <v>140</v>
      </c>
    </row>
    <row r="220" spans="1:3" x14ac:dyDescent="0.3">
      <c r="A220" s="2">
        <v>350</v>
      </c>
      <c r="B220" s="5">
        <v>0.65</v>
      </c>
      <c r="C220" s="2">
        <v>120</v>
      </c>
    </row>
    <row r="221" spans="1:3" x14ac:dyDescent="0.3">
      <c r="A221" s="2">
        <v>499</v>
      </c>
      <c r="B221" s="5">
        <v>0.75</v>
      </c>
      <c r="C221" s="2">
        <v>122</v>
      </c>
    </row>
    <row r="222" spans="1:3" x14ac:dyDescent="0.3">
      <c r="A222" s="2">
        <v>400</v>
      </c>
      <c r="B222" s="5">
        <v>0.61</v>
      </c>
      <c r="C222" s="2">
        <v>153</v>
      </c>
    </row>
    <row r="223" spans="1:3" x14ac:dyDescent="0.3">
      <c r="A223" s="2">
        <v>386</v>
      </c>
      <c r="B223" s="5">
        <v>0.67</v>
      </c>
      <c r="C223" s="2">
        <v>125</v>
      </c>
    </row>
    <row r="224" spans="1:3" x14ac:dyDescent="0.3">
      <c r="A224" s="2">
        <v>599</v>
      </c>
      <c r="B224" s="5">
        <v>0.78</v>
      </c>
      <c r="C224" s="2">
        <v>130</v>
      </c>
    </row>
    <row r="225" spans="1:3" x14ac:dyDescent="0.3">
      <c r="A225" s="2">
        <v>449</v>
      </c>
      <c r="B225" s="5">
        <v>0.44</v>
      </c>
      <c r="C225" s="2">
        <v>249</v>
      </c>
    </row>
    <row r="226" spans="1:3" x14ac:dyDescent="0.3">
      <c r="A226" s="2">
        <v>1500</v>
      </c>
      <c r="B226" s="5">
        <v>0.91</v>
      </c>
      <c r="C226" s="2">
        <v>125</v>
      </c>
    </row>
    <row r="227" spans="1:3" x14ac:dyDescent="0.3">
      <c r="A227" s="2">
        <v>489</v>
      </c>
      <c r="B227" s="5">
        <v>0.73</v>
      </c>
      <c r="C227" s="2">
        <v>128</v>
      </c>
    </row>
    <row r="228" spans="1:3" x14ac:dyDescent="0.3">
      <c r="A228" s="2">
        <v>399</v>
      </c>
      <c r="B228" s="5">
        <v>0.63</v>
      </c>
      <c r="C228" s="2">
        <v>147</v>
      </c>
    </row>
    <row r="229" spans="1:3" x14ac:dyDescent="0.3">
      <c r="A229" s="2">
        <v>349</v>
      </c>
      <c r="B229" s="5">
        <v>0.37</v>
      </c>
      <c r="C229" s="2">
        <v>219</v>
      </c>
    </row>
    <row r="230" spans="1:3" x14ac:dyDescent="0.3">
      <c r="A230" s="2">
        <v>599</v>
      </c>
      <c r="B230" s="5">
        <v>0.79</v>
      </c>
      <c r="C230" s="2">
        <v>125</v>
      </c>
    </row>
    <row r="231" spans="1:3" x14ac:dyDescent="0.3">
      <c r="A231" s="2">
        <v>699</v>
      </c>
      <c r="B231" s="5">
        <v>0.83</v>
      </c>
      <c r="C231" s="2">
        <v>118</v>
      </c>
    </row>
    <row r="232" spans="1:3" x14ac:dyDescent="0.3">
      <c r="A232" s="2">
        <v>442</v>
      </c>
      <c r="B232" s="5">
        <v>0.71</v>
      </c>
      <c r="C232" s="2">
        <v>127</v>
      </c>
    </row>
    <row r="233" spans="1:3" x14ac:dyDescent="0.3">
      <c r="A233" s="2">
        <v>499</v>
      </c>
      <c r="B233" s="5">
        <v>0.72</v>
      </c>
      <c r="C233" s="2">
        <v>135</v>
      </c>
    </row>
    <row r="234" spans="1:3" x14ac:dyDescent="0.3">
      <c r="A234" s="2">
        <v>499</v>
      </c>
      <c r="B234" s="5">
        <v>0.74</v>
      </c>
      <c r="C234" s="2">
        <v>126</v>
      </c>
    </row>
    <row r="235" spans="1:3" x14ac:dyDescent="0.3">
      <c r="A235" s="2">
        <v>499</v>
      </c>
      <c r="B235" s="5">
        <v>0.74</v>
      </c>
      <c r="C235" s="2">
        <v>125</v>
      </c>
    </row>
    <row r="236" spans="1:3" x14ac:dyDescent="0.3">
      <c r="A236" s="2">
        <v>499</v>
      </c>
      <c r="B236" s="5">
        <v>0.75</v>
      </c>
      <c r="C236" s="2">
        <v>122</v>
      </c>
    </row>
    <row r="237" spans="1:3" x14ac:dyDescent="0.3">
      <c r="A237" s="2">
        <v>890</v>
      </c>
      <c r="B237" s="5">
        <v>0.83</v>
      </c>
      <c r="C237" s="2">
        <v>144</v>
      </c>
    </row>
    <row r="238" spans="1:3" x14ac:dyDescent="0.3">
      <c r="A238" s="2">
        <v>499</v>
      </c>
      <c r="B238" s="5">
        <v>0.72</v>
      </c>
      <c r="C238" s="2">
        <v>135</v>
      </c>
    </row>
    <row r="239" spans="1:3" x14ac:dyDescent="0.3">
      <c r="A239" s="2">
        <v>399</v>
      </c>
      <c r="B239" s="5">
        <v>0.69</v>
      </c>
      <c r="C239" s="2">
        <v>122</v>
      </c>
    </row>
    <row r="240" spans="1:3" x14ac:dyDescent="0.3">
      <c r="A240" s="2">
        <v>190</v>
      </c>
      <c r="B240" s="5">
        <v>0.28000000000000003</v>
      </c>
      <c r="C240" s="2">
        <v>135</v>
      </c>
    </row>
    <row r="241" spans="1:3" x14ac:dyDescent="0.3">
      <c r="A241" s="2">
        <v>1599</v>
      </c>
      <c r="B241" s="5">
        <v>0.53</v>
      </c>
      <c r="C241" s="2">
        <v>749</v>
      </c>
    </row>
    <row r="242" spans="1:3" x14ac:dyDescent="0.3">
      <c r="A242" s="2">
        <v>1033</v>
      </c>
      <c r="B242" s="5">
        <v>0.86</v>
      </c>
      <c r="C242" s="2">
        <v>139</v>
      </c>
    </row>
    <row r="243" spans="1:3" x14ac:dyDescent="0.3">
      <c r="A243" s="2">
        <v>599</v>
      </c>
      <c r="B243" s="5">
        <v>0.78</v>
      </c>
      <c r="C243" s="2">
        <v>127</v>
      </c>
    </row>
    <row r="244" spans="1:3" x14ac:dyDescent="0.3">
      <c r="A244" s="2">
        <v>699</v>
      </c>
      <c r="B244" s="5">
        <v>0.71</v>
      </c>
      <c r="C244" s="2">
        <v>199</v>
      </c>
    </row>
    <row r="245" spans="1:3" x14ac:dyDescent="0.3">
      <c r="A245" s="2">
        <v>349</v>
      </c>
      <c r="B245" s="5">
        <v>0.65</v>
      </c>
      <c r="C245" s="2">
        <v>122</v>
      </c>
    </row>
    <row r="246" spans="1:3" x14ac:dyDescent="0.3">
      <c r="A246" s="2">
        <v>399</v>
      </c>
      <c r="B246" s="5">
        <v>0.6</v>
      </c>
      <c r="C246" s="2">
        <v>157</v>
      </c>
    </row>
    <row r="247" spans="1:3" x14ac:dyDescent="0.3">
      <c r="A247" s="2">
        <v>599</v>
      </c>
      <c r="B247" s="5">
        <v>0.81</v>
      </c>
      <c r="C247" s="2">
        <v>113</v>
      </c>
    </row>
    <row r="248" spans="1:3" x14ac:dyDescent="0.3">
      <c r="A248" s="2">
        <v>599</v>
      </c>
      <c r="B248" s="5">
        <v>0.79</v>
      </c>
      <c r="C248" s="2">
        <v>125</v>
      </c>
    </row>
    <row r="249" spans="1:3" x14ac:dyDescent="0.3">
      <c r="A249" s="2">
        <v>349</v>
      </c>
      <c r="B249" s="5">
        <v>0.45</v>
      </c>
      <c r="C249" s="2">
        <v>189</v>
      </c>
    </row>
    <row r="250" spans="1:3" x14ac:dyDescent="0.3">
      <c r="A250" s="2">
        <v>599</v>
      </c>
      <c r="B250" s="5">
        <v>0.71</v>
      </c>
      <c r="C250" s="2">
        <v>169</v>
      </c>
    </row>
    <row r="251" spans="1:3" x14ac:dyDescent="0.3">
      <c r="A251" s="2">
        <v>299</v>
      </c>
      <c r="B251" s="5">
        <v>0.38</v>
      </c>
      <c r="C251" s="2">
        <v>185</v>
      </c>
    </row>
    <row r="252" spans="1:3" x14ac:dyDescent="0.3">
      <c r="A252" s="2">
        <v>489</v>
      </c>
      <c r="B252" s="5">
        <v>0.61</v>
      </c>
      <c r="C252" s="2">
        <v>189</v>
      </c>
    </row>
    <row r="253" spans="1:3" x14ac:dyDescent="0.3">
      <c r="A253" s="2">
        <v>299</v>
      </c>
      <c r="B253" s="5">
        <v>0.61</v>
      </c>
      <c r="C253" s="2">
        <v>115</v>
      </c>
    </row>
    <row r="254" spans="1:3" x14ac:dyDescent="0.3">
      <c r="A254" s="2">
        <v>499</v>
      </c>
      <c r="B254" s="5">
        <v>0.73</v>
      </c>
      <c r="C254" s="2">
        <v>134</v>
      </c>
    </row>
    <row r="255" spans="1:3" x14ac:dyDescent="0.3">
      <c r="A255" s="2">
        <v>200</v>
      </c>
      <c r="B255" s="5">
        <v>0.25</v>
      </c>
      <c r="C255" s="2">
        <v>149</v>
      </c>
    </row>
    <row r="256" spans="1:3" x14ac:dyDescent="0.3">
      <c r="A256" s="2">
        <v>789</v>
      </c>
      <c r="B256" s="5">
        <v>0.65</v>
      </c>
      <c r="C256" s="2">
        <v>270</v>
      </c>
    </row>
    <row r="257" spans="1:3" x14ac:dyDescent="0.3">
      <c r="A257" s="2">
        <v>499</v>
      </c>
      <c r="B257" s="5">
        <v>0.74</v>
      </c>
      <c r="C257" s="2">
        <v>125</v>
      </c>
    </row>
    <row r="258" spans="1:3" x14ac:dyDescent="0.3">
      <c r="A258" s="2">
        <v>1000</v>
      </c>
      <c r="B258" s="5">
        <v>0.85</v>
      </c>
      <c r="C258" s="2">
        <v>143</v>
      </c>
    </row>
    <row r="259" spans="1:3" x14ac:dyDescent="0.3">
      <c r="A259" s="2">
        <v>499</v>
      </c>
      <c r="B259" s="5">
        <v>0.68</v>
      </c>
      <c r="C259" s="2">
        <v>159</v>
      </c>
    </row>
    <row r="260" spans="1:3" x14ac:dyDescent="0.3">
      <c r="A260" s="2">
        <v>999</v>
      </c>
      <c r="B260" s="5">
        <v>0.7</v>
      </c>
      <c r="C260" s="2">
        <v>299</v>
      </c>
    </row>
    <row r="261" spans="1:3" x14ac:dyDescent="0.3">
      <c r="A261" s="2">
        <v>200</v>
      </c>
      <c r="B261" s="5">
        <v>0.32</v>
      </c>
      <c r="C261" s="2">
        <v>135</v>
      </c>
    </row>
    <row r="262" spans="1:3" x14ac:dyDescent="0.3">
      <c r="A262" s="2">
        <v>595</v>
      </c>
      <c r="B262" s="5">
        <v>0.76</v>
      </c>
      <c r="C262" s="2">
        <v>137</v>
      </c>
    </row>
    <row r="263" spans="1:3" x14ac:dyDescent="0.3">
      <c r="A263" s="2">
        <v>599</v>
      </c>
      <c r="B263" s="5">
        <v>0.5</v>
      </c>
      <c r="C263" s="2">
        <v>299</v>
      </c>
    </row>
    <row r="264" spans="1:3" x14ac:dyDescent="0.3">
      <c r="A264" s="2">
        <v>499</v>
      </c>
      <c r="B264" s="5">
        <v>0.74</v>
      </c>
      <c r="C264" s="2">
        <v>129</v>
      </c>
    </row>
    <row r="265" spans="1:3" x14ac:dyDescent="0.3">
      <c r="A265" s="2">
        <v>449</v>
      </c>
      <c r="B265" s="5">
        <v>0.72</v>
      </c>
      <c r="C265" s="2">
        <v>125</v>
      </c>
    </row>
    <row r="266" spans="1:3" x14ac:dyDescent="0.3">
      <c r="A266" s="2">
        <v>425</v>
      </c>
      <c r="B266" s="5">
        <v>0.35</v>
      </c>
      <c r="C266" s="2">
        <v>275</v>
      </c>
    </row>
    <row r="267" spans="1:3" x14ac:dyDescent="0.3">
      <c r="A267" s="2">
        <v>499</v>
      </c>
      <c r="B267" s="5">
        <v>0.7</v>
      </c>
      <c r="C267" s="2">
        <v>145</v>
      </c>
    </row>
    <row r="268" spans="1:3" x14ac:dyDescent="0.3">
      <c r="A268" s="2">
        <v>299</v>
      </c>
      <c r="B268" s="5">
        <v>0.6</v>
      </c>
      <c r="C268" s="2">
        <v>119</v>
      </c>
    </row>
    <row r="269" spans="1:3" x14ac:dyDescent="0.3">
      <c r="A269" s="2">
        <v>489</v>
      </c>
      <c r="B269" s="5">
        <v>0.7</v>
      </c>
      <c r="C269" s="2">
        <v>145</v>
      </c>
    </row>
    <row r="270" spans="1:3" x14ac:dyDescent="0.3">
      <c r="A270" s="2">
        <v>599</v>
      </c>
      <c r="B270" s="5">
        <v>0.78</v>
      </c>
      <c r="C270" s="2">
        <v>126</v>
      </c>
    </row>
    <row r="271" spans="1:3" x14ac:dyDescent="0.3">
      <c r="A271" s="2">
        <v>299</v>
      </c>
      <c r="B271" s="5">
        <v>0.57999999999999996</v>
      </c>
      <c r="C271" s="2">
        <v>124</v>
      </c>
    </row>
    <row r="272" spans="1:3" x14ac:dyDescent="0.3">
      <c r="A272" s="2">
        <v>625</v>
      </c>
      <c r="B272" s="5">
        <v>0.52</v>
      </c>
      <c r="C272" s="2">
        <v>298</v>
      </c>
    </row>
    <row r="273" spans="1:3" x14ac:dyDescent="0.3">
      <c r="A273" s="2">
        <v>625</v>
      </c>
      <c r="B273" s="5">
        <v>0.8</v>
      </c>
      <c r="C273" s="2">
        <v>122</v>
      </c>
    </row>
    <row r="274" spans="1:3" x14ac:dyDescent="0.3">
      <c r="A274" s="2">
        <v>499</v>
      </c>
      <c r="B274" s="5">
        <v>0.71</v>
      </c>
      <c r="C274" s="2">
        <v>141</v>
      </c>
    </row>
    <row r="275" spans="1:3" x14ac:dyDescent="0.3">
      <c r="A275" s="2">
        <v>419</v>
      </c>
      <c r="B275" s="5">
        <v>0.31</v>
      </c>
      <c r="C275" s="2">
        <v>289</v>
      </c>
    </row>
    <row r="276" spans="1:3" x14ac:dyDescent="0.3">
      <c r="A276" s="2">
        <v>499</v>
      </c>
      <c r="B276" s="5">
        <v>0.72</v>
      </c>
      <c r="C276" s="2">
        <v>135</v>
      </c>
    </row>
    <row r="277" spans="1:3" x14ac:dyDescent="0.3">
      <c r="A277" s="2">
        <v>399</v>
      </c>
      <c r="B277" s="5">
        <v>0.68</v>
      </c>
      <c r="C277" s="2">
        <v>125</v>
      </c>
    </row>
    <row r="278" spans="1:3" x14ac:dyDescent="0.3">
      <c r="A278" s="2">
        <v>489</v>
      </c>
      <c r="B278" s="5">
        <v>0.61</v>
      </c>
      <c r="C278" s="2">
        <v>189</v>
      </c>
    </row>
    <row r="279" spans="1:3" x14ac:dyDescent="0.3">
      <c r="A279" s="2">
        <v>449</v>
      </c>
      <c r="B279" s="5">
        <v>0.39</v>
      </c>
      <c r="C279" s="2">
        <v>271</v>
      </c>
    </row>
    <row r="280" spans="1:3" x14ac:dyDescent="0.3">
      <c r="A280" s="2">
        <v>399</v>
      </c>
      <c r="B280" s="5">
        <v>0.68</v>
      </c>
      <c r="C280" s="2">
        <v>127</v>
      </c>
    </row>
    <row r="281" spans="1:3" x14ac:dyDescent="0.3">
      <c r="A281" s="2">
        <v>596</v>
      </c>
      <c r="B281" s="5">
        <v>0.78</v>
      </c>
      <c r="C281" s="2">
        <v>126</v>
      </c>
    </row>
    <row r="282" spans="1:3" x14ac:dyDescent="0.3">
      <c r="A282" s="2">
        <v>499</v>
      </c>
      <c r="B282" s="5">
        <v>0.73</v>
      </c>
      <c r="C282" s="2">
        <v>130</v>
      </c>
    </row>
    <row r="283" spans="1:3" x14ac:dyDescent="0.3">
      <c r="A283" s="2">
        <v>499</v>
      </c>
      <c r="B283" s="5">
        <v>0.73</v>
      </c>
      <c r="C283" s="2">
        <v>130</v>
      </c>
    </row>
    <row r="284" spans="1:3" x14ac:dyDescent="0.3">
      <c r="A284" s="2">
        <v>599</v>
      </c>
      <c r="B284" s="5">
        <v>0.78</v>
      </c>
      <c r="C284" s="2">
        <v>126</v>
      </c>
    </row>
    <row r="285" spans="1:3" x14ac:dyDescent="0.3">
      <c r="A285" s="2">
        <v>299</v>
      </c>
      <c r="B285" s="5">
        <v>0.44</v>
      </c>
      <c r="C285" s="2">
        <v>166</v>
      </c>
    </row>
    <row r="286" spans="1:3" x14ac:dyDescent="0.3">
      <c r="A286" s="2">
        <v>349</v>
      </c>
      <c r="B286" s="5">
        <v>0.42</v>
      </c>
      <c r="C286" s="2">
        <v>199</v>
      </c>
    </row>
    <row r="287" spans="1:3" x14ac:dyDescent="0.3">
      <c r="A287" s="2">
        <v>499</v>
      </c>
      <c r="B287" s="5">
        <v>0.69</v>
      </c>
      <c r="C287" s="2">
        <v>150</v>
      </c>
    </row>
    <row r="288" spans="1:3" x14ac:dyDescent="0.3">
      <c r="A288" s="2">
        <v>299</v>
      </c>
      <c r="B288" s="5">
        <v>0.56999999999999995</v>
      </c>
      <c r="C288" s="2">
        <v>127</v>
      </c>
    </row>
    <row r="289" spans="1:3" x14ac:dyDescent="0.3">
      <c r="A289" s="2">
        <v>449</v>
      </c>
      <c r="B289" s="5">
        <v>0.6</v>
      </c>
      <c r="C289" s="2">
        <v>178</v>
      </c>
    </row>
    <row r="290" spans="1:3" x14ac:dyDescent="0.3">
      <c r="A290" s="2">
        <v>499</v>
      </c>
      <c r="B290" s="5">
        <v>0.72</v>
      </c>
      <c r="C290" s="2">
        <v>135</v>
      </c>
    </row>
    <row r="291" spans="1:3" x14ac:dyDescent="0.3">
      <c r="A291" s="2">
        <v>649</v>
      </c>
      <c r="B291" s="5">
        <v>0.77</v>
      </c>
      <c r="C291" s="2">
        <v>145</v>
      </c>
    </row>
    <row r="292" spans="1:3" x14ac:dyDescent="0.3">
      <c r="A292" s="2">
        <v>320</v>
      </c>
      <c r="B292" s="5">
        <v>0.62</v>
      </c>
      <c r="C292" s="2">
        <v>121</v>
      </c>
    </row>
    <row r="293" spans="1:3" x14ac:dyDescent="0.3">
      <c r="A293" s="2">
        <v>366</v>
      </c>
      <c r="B293" s="5">
        <v>0.63</v>
      </c>
      <c r="C293" s="2">
        <v>134</v>
      </c>
    </row>
    <row r="294" spans="1:3" x14ac:dyDescent="0.3">
      <c r="A294" s="2">
        <v>399</v>
      </c>
      <c r="B294" s="5">
        <v>0.66</v>
      </c>
      <c r="C294" s="2">
        <v>134</v>
      </c>
    </row>
    <row r="295" spans="1:3" x14ac:dyDescent="0.3">
      <c r="A295" s="2">
        <v>499</v>
      </c>
      <c r="B295" s="5">
        <v>0.69</v>
      </c>
      <c r="C295" s="2">
        <v>150</v>
      </c>
    </row>
    <row r="296" spans="1:3" x14ac:dyDescent="0.3">
      <c r="A296" s="2">
        <v>499</v>
      </c>
      <c r="B296" s="5">
        <v>0.52</v>
      </c>
      <c r="C296" s="2">
        <v>237</v>
      </c>
    </row>
    <row r="297" spans="1:3" x14ac:dyDescent="0.3">
      <c r="A297" s="2">
        <v>499</v>
      </c>
      <c r="B297" s="5">
        <v>0.74</v>
      </c>
      <c r="C297" s="2">
        <v>126</v>
      </c>
    </row>
    <row r="298" spans="1:3" x14ac:dyDescent="0.3">
      <c r="A298" s="2">
        <v>499</v>
      </c>
      <c r="B298" s="5">
        <v>0.72</v>
      </c>
      <c r="C298" s="2">
        <v>139</v>
      </c>
    </row>
    <row r="299" spans="1:3" x14ac:dyDescent="0.3">
      <c r="A299" s="2">
        <v>299</v>
      </c>
      <c r="B299" s="5">
        <v>0.42</v>
      </c>
      <c r="C299" s="2">
        <v>171</v>
      </c>
    </row>
    <row r="300" spans="1:3" x14ac:dyDescent="0.3">
      <c r="A300" s="2">
        <v>300</v>
      </c>
      <c r="B300" s="5">
        <v>0.62</v>
      </c>
      <c r="C300" s="2">
        <v>113</v>
      </c>
    </row>
    <row r="301" spans="1:3" x14ac:dyDescent="0.3">
      <c r="A301" s="2">
        <v>346</v>
      </c>
      <c r="B301" s="5">
        <v>0.52</v>
      </c>
      <c r="C301" s="2">
        <v>165</v>
      </c>
    </row>
    <row r="302" spans="1:3" x14ac:dyDescent="0.3">
      <c r="A302" s="2">
        <v>489</v>
      </c>
      <c r="B302" s="5">
        <v>0.67</v>
      </c>
      <c r="C302" s="2">
        <v>158</v>
      </c>
    </row>
    <row r="303" spans="1:3" x14ac:dyDescent="0.3">
      <c r="A303" s="2">
        <v>599</v>
      </c>
      <c r="B303" s="5">
        <v>0.79</v>
      </c>
      <c r="C303" s="2">
        <v>120</v>
      </c>
    </row>
    <row r="304" spans="1:3" x14ac:dyDescent="0.3">
      <c r="A304" s="2">
        <v>399</v>
      </c>
      <c r="B304" s="5">
        <v>0.65</v>
      </c>
      <c r="C304" s="2">
        <v>136</v>
      </c>
    </row>
    <row r="305" spans="1:3" x14ac:dyDescent="0.3">
      <c r="A305" s="2">
        <v>499</v>
      </c>
      <c r="B305" s="5">
        <v>0.68</v>
      </c>
      <c r="C305" s="2">
        <v>155</v>
      </c>
    </row>
    <row r="306" spans="1:3" x14ac:dyDescent="0.3">
      <c r="A306" s="2">
        <v>199</v>
      </c>
      <c r="B306" s="5">
        <v>0.36</v>
      </c>
      <c r="C306" s="2">
        <v>126</v>
      </c>
    </row>
    <row r="307" spans="1:3" x14ac:dyDescent="0.3">
      <c r="A307" s="2">
        <v>599</v>
      </c>
      <c r="B307" s="5">
        <v>0.77</v>
      </c>
      <c r="C307" s="2">
        <v>135</v>
      </c>
    </row>
    <row r="308" spans="1:3" x14ac:dyDescent="0.3">
      <c r="A308" s="2">
        <v>499</v>
      </c>
      <c r="B308" s="5">
        <v>0.74</v>
      </c>
      <c r="C308" s="2">
        <v>127</v>
      </c>
    </row>
    <row r="309" spans="1:3" x14ac:dyDescent="0.3">
      <c r="A309" s="2">
        <v>499</v>
      </c>
      <c r="B309" s="5">
        <v>0.74</v>
      </c>
      <c r="C309" s="2">
        <v>127</v>
      </c>
    </row>
    <row r="310" spans="1:3" x14ac:dyDescent="0.3">
      <c r="A310" s="2">
        <v>699</v>
      </c>
      <c r="B310" s="5">
        <v>0.82</v>
      </c>
      <c r="C310" s="2">
        <v>125</v>
      </c>
    </row>
    <row r="311" spans="1:3" x14ac:dyDescent="0.3">
      <c r="A311" s="2">
        <v>499</v>
      </c>
      <c r="B311" s="5">
        <v>0.67</v>
      </c>
      <c r="C311" s="2">
        <v>163</v>
      </c>
    </row>
    <row r="312" spans="1:3" x14ac:dyDescent="0.3">
      <c r="A312" s="2">
        <v>399</v>
      </c>
      <c r="B312" s="5">
        <v>0.67</v>
      </c>
      <c r="C312" s="2">
        <v>128</v>
      </c>
    </row>
    <row r="313" spans="1:3" x14ac:dyDescent="0.3">
      <c r="A313" s="2">
        <v>499</v>
      </c>
      <c r="B313" s="5">
        <v>0.72</v>
      </c>
      <c r="C313" s="2">
        <v>139</v>
      </c>
    </row>
    <row r="314" spans="1:3" x14ac:dyDescent="0.3">
      <c r="A314" s="2">
        <v>499</v>
      </c>
      <c r="B314" s="5">
        <v>0.68</v>
      </c>
      <c r="C314" s="2">
        <v>155</v>
      </c>
    </row>
    <row r="315" spans="1:3" x14ac:dyDescent="0.3">
      <c r="A315" s="2">
        <v>2999</v>
      </c>
      <c r="B315" s="5">
        <v>0.9</v>
      </c>
      <c r="C315" s="2">
        <v>288</v>
      </c>
    </row>
    <row r="316" spans="1:3" x14ac:dyDescent="0.3">
      <c r="A316" s="2">
        <v>498</v>
      </c>
      <c r="B316" s="5">
        <v>0.63</v>
      </c>
      <c r="C316" s="2">
        <v>180</v>
      </c>
    </row>
    <row r="317" spans="1:3" x14ac:dyDescent="0.3">
      <c r="A317" s="2">
        <v>299</v>
      </c>
      <c r="B317" s="5">
        <v>0.48</v>
      </c>
      <c r="C317" s="2">
        <v>155</v>
      </c>
    </row>
    <row r="318" spans="1:3" x14ac:dyDescent="0.3">
      <c r="A318" s="2">
        <v>299</v>
      </c>
      <c r="B318" s="5">
        <v>0.52</v>
      </c>
      <c r="C318" s="2">
        <v>143</v>
      </c>
    </row>
    <row r="319" spans="1:3" x14ac:dyDescent="0.3">
      <c r="A319" s="2">
        <v>570</v>
      </c>
      <c r="B319" s="5">
        <v>0.76</v>
      </c>
      <c r="C319" s="2">
        <v>135</v>
      </c>
    </row>
    <row r="320" spans="1:3" x14ac:dyDescent="0.3">
      <c r="A320" s="2">
        <v>599</v>
      </c>
      <c r="B320" s="5">
        <v>0.78</v>
      </c>
      <c r="C320" s="2">
        <v>129</v>
      </c>
    </row>
    <row r="321" spans="1:3" x14ac:dyDescent="0.3">
      <c r="A321" s="2">
        <v>599</v>
      </c>
      <c r="B321" s="5">
        <v>0.66</v>
      </c>
      <c r="C321" s="2">
        <v>199</v>
      </c>
    </row>
    <row r="322" spans="1:3" x14ac:dyDescent="0.3">
      <c r="A322" s="2">
        <v>399</v>
      </c>
      <c r="B322" s="5">
        <v>0.69</v>
      </c>
      <c r="C322" s="2">
        <v>120</v>
      </c>
    </row>
    <row r="323" spans="1:3" x14ac:dyDescent="0.3">
      <c r="A323" s="2">
        <v>659</v>
      </c>
      <c r="B323" s="5">
        <v>0.31</v>
      </c>
      <c r="C323" s="2">
        <v>449</v>
      </c>
    </row>
    <row r="324" spans="1:3" x14ac:dyDescent="0.3">
      <c r="A324" s="2">
        <v>499</v>
      </c>
      <c r="B324" s="5">
        <v>0.72</v>
      </c>
      <c r="C324" s="2">
        <v>139</v>
      </c>
    </row>
    <row r="325" spans="1:3" x14ac:dyDescent="0.3">
      <c r="A325" s="2">
        <v>659</v>
      </c>
      <c r="B325" s="5">
        <v>0.31</v>
      </c>
      <c r="C325" s="2">
        <v>449</v>
      </c>
    </row>
    <row r="326" spans="1:3" x14ac:dyDescent="0.3">
      <c r="A326" s="2">
        <v>294</v>
      </c>
      <c r="B326" s="5">
        <v>0.61</v>
      </c>
      <c r="C326" s="2">
        <v>113</v>
      </c>
    </row>
    <row r="327" spans="1:3" x14ac:dyDescent="0.3">
      <c r="A327" s="2">
        <v>399</v>
      </c>
      <c r="B327" s="5">
        <v>0.68</v>
      </c>
      <c r="C327" s="2">
        <v>126</v>
      </c>
    </row>
    <row r="328" spans="1:3" x14ac:dyDescent="0.3">
      <c r="A328" s="2">
        <v>399</v>
      </c>
      <c r="B328" s="5">
        <v>0.62</v>
      </c>
      <c r="C328" s="2">
        <v>148</v>
      </c>
    </row>
    <row r="329" spans="1:3" x14ac:dyDescent="0.3">
      <c r="A329" s="2">
        <v>379</v>
      </c>
      <c r="B329" s="5">
        <v>0.64</v>
      </c>
      <c r="C329" s="2">
        <v>134</v>
      </c>
    </row>
    <row r="330" spans="1:3" x14ac:dyDescent="0.3">
      <c r="A330" s="2">
        <v>549</v>
      </c>
      <c r="B330" s="5">
        <v>0.46</v>
      </c>
      <c r="C330" s="2">
        <v>296</v>
      </c>
    </row>
    <row r="331" spans="1:3" x14ac:dyDescent="0.3">
      <c r="A331" s="2">
        <v>399</v>
      </c>
      <c r="B331" s="5">
        <v>0.68</v>
      </c>
      <c r="C331" s="2">
        <v>126</v>
      </c>
    </row>
    <row r="332" spans="1:3" x14ac:dyDescent="0.3">
      <c r="A332" s="2">
        <v>1599</v>
      </c>
      <c r="B332" s="5">
        <v>0.71</v>
      </c>
      <c r="C332" s="2">
        <v>452</v>
      </c>
    </row>
    <row r="333" spans="1:3" x14ac:dyDescent="0.3">
      <c r="A333" s="2">
        <v>359</v>
      </c>
      <c r="B333" s="5">
        <v>0.63</v>
      </c>
      <c r="C333" s="2">
        <v>130</v>
      </c>
    </row>
    <row r="334" spans="1:3" x14ac:dyDescent="0.3">
      <c r="A334" s="2">
        <v>499</v>
      </c>
      <c r="B334" s="5">
        <v>0.75</v>
      </c>
      <c r="C334" s="2">
        <v>122</v>
      </c>
    </row>
    <row r="335" spans="1:3" x14ac:dyDescent="0.3">
      <c r="A335" s="2">
        <v>499</v>
      </c>
      <c r="B335" s="5">
        <v>0.72</v>
      </c>
      <c r="C335" s="2">
        <v>135</v>
      </c>
    </row>
    <row r="336" spans="1:3" x14ac:dyDescent="0.3">
      <c r="A336" s="2">
        <v>299</v>
      </c>
      <c r="B336" s="5">
        <v>0.57999999999999996</v>
      </c>
      <c r="C336" s="2">
        <v>125</v>
      </c>
    </row>
    <row r="337" spans="1:3" x14ac:dyDescent="0.3">
      <c r="A337" s="2">
        <v>363</v>
      </c>
      <c r="B337" s="5">
        <v>0.66</v>
      </c>
      <c r="C337" s="2">
        <v>120</v>
      </c>
    </row>
    <row r="338" spans="1:3" x14ac:dyDescent="0.3">
      <c r="A338" s="2">
        <v>399</v>
      </c>
      <c r="B338" s="5">
        <v>0.5</v>
      </c>
      <c r="C338" s="2">
        <v>199</v>
      </c>
    </row>
    <row r="339" spans="1:3" x14ac:dyDescent="0.3">
      <c r="A339" s="2">
        <v>699</v>
      </c>
      <c r="B339" s="5">
        <v>0.82</v>
      </c>
      <c r="C339" s="2">
        <v>120</v>
      </c>
    </row>
    <row r="340" spans="1:3" x14ac:dyDescent="0.3">
      <c r="A340" s="2">
        <v>499</v>
      </c>
      <c r="B340" s="5">
        <v>0.75</v>
      </c>
      <c r="C340" s="2">
        <v>121</v>
      </c>
    </row>
    <row r="341" spans="1:3" x14ac:dyDescent="0.3">
      <c r="A341" s="2">
        <v>549</v>
      </c>
      <c r="B341" s="5">
        <v>0.75</v>
      </c>
      <c r="C341" s="2">
        <v>135</v>
      </c>
    </row>
    <row r="342" spans="1:3" x14ac:dyDescent="0.3">
      <c r="A342" s="2">
        <v>999</v>
      </c>
      <c r="B342" s="5">
        <v>0.85</v>
      </c>
      <c r="C342" s="2">
        <v>149</v>
      </c>
    </row>
    <row r="343" spans="1:3" x14ac:dyDescent="0.3">
      <c r="A343" s="2">
        <v>399</v>
      </c>
      <c r="B343" s="5">
        <v>0.7</v>
      </c>
      <c r="C343" s="2">
        <v>118</v>
      </c>
    </row>
    <row r="344" spans="1:3" x14ac:dyDescent="0.3">
      <c r="A344" s="2">
        <v>599</v>
      </c>
      <c r="B344" s="5">
        <v>0.79</v>
      </c>
      <c r="C344" s="2">
        <v>122</v>
      </c>
    </row>
    <row r="345" spans="1:3" x14ac:dyDescent="0.3">
      <c r="A345" s="2">
        <v>599</v>
      </c>
      <c r="B345" s="5">
        <v>0.8</v>
      </c>
      <c r="C345" s="2">
        <v>115</v>
      </c>
    </row>
    <row r="346" spans="1:3" x14ac:dyDescent="0.3">
      <c r="A346" s="2">
        <v>418</v>
      </c>
      <c r="B346" s="5">
        <v>0.73</v>
      </c>
      <c r="C346" s="2">
        <v>109</v>
      </c>
    </row>
    <row r="347" spans="1:3" x14ac:dyDescent="0.3">
      <c r="A347" s="2">
        <v>599</v>
      </c>
      <c r="B347" s="5">
        <v>0.79</v>
      </c>
      <c r="C347" s="2">
        <v>122</v>
      </c>
    </row>
    <row r="348" spans="1:3" x14ac:dyDescent="0.3">
      <c r="A348" s="2">
        <v>590</v>
      </c>
      <c r="B348" s="5">
        <v>0.72</v>
      </c>
      <c r="C348" s="2">
        <v>162</v>
      </c>
    </row>
    <row r="349" spans="1:3" x14ac:dyDescent="0.3">
      <c r="A349" s="2">
        <v>598</v>
      </c>
      <c r="B349" s="5">
        <v>0.76</v>
      </c>
      <c r="C349" s="2">
        <v>138</v>
      </c>
    </row>
    <row r="350" spans="1:3" x14ac:dyDescent="0.3">
      <c r="A350" s="2">
        <v>399</v>
      </c>
      <c r="B350" s="5">
        <v>0.65</v>
      </c>
      <c r="C350" s="2">
        <v>136</v>
      </c>
    </row>
    <row r="351" spans="1:3" x14ac:dyDescent="0.3">
      <c r="A351" s="2">
        <v>799</v>
      </c>
      <c r="B351" s="5">
        <v>0.5</v>
      </c>
      <c r="C351" s="2">
        <v>399</v>
      </c>
    </row>
    <row r="352" spans="1:3" x14ac:dyDescent="0.3">
      <c r="A352" s="2">
        <v>259</v>
      </c>
      <c r="B352" s="5">
        <v>0.23</v>
      </c>
      <c r="C352" s="2">
        <v>199</v>
      </c>
    </row>
    <row r="353" spans="1:3" x14ac:dyDescent="0.3">
      <c r="A353" s="2">
        <v>599</v>
      </c>
      <c r="B353" s="5">
        <v>0.78</v>
      </c>
      <c r="C353" s="2">
        <v>127</v>
      </c>
    </row>
    <row r="354" spans="1:3" x14ac:dyDescent="0.3">
      <c r="A354" s="2">
        <v>499</v>
      </c>
      <c r="B354" s="5">
        <v>0.51</v>
      </c>
      <c r="C354" s="2">
        <v>242</v>
      </c>
    </row>
    <row r="355" spans="1:3" x14ac:dyDescent="0.3">
      <c r="A355" s="2">
        <v>599</v>
      </c>
      <c r="B355" s="5">
        <v>0.78</v>
      </c>
      <c r="C355" s="2">
        <v>128</v>
      </c>
    </row>
    <row r="356" spans="1:3" x14ac:dyDescent="0.3">
      <c r="A356" s="2">
        <v>599</v>
      </c>
      <c r="B356" s="5">
        <v>0.77</v>
      </c>
      <c r="C356" s="2">
        <v>134</v>
      </c>
    </row>
    <row r="357" spans="1:3" x14ac:dyDescent="0.3">
      <c r="A357" s="2">
        <v>599</v>
      </c>
      <c r="B357" s="5">
        <v>0.78</v>
      </c>
      <c r="C357" s="2">
        <v>126</v>
      </c>
    </row>
    <row r="358" spans="1:3" x14ac:dyDescent="0.3">
      <c r="A358" s="2">
        <v>349</v>
      </c>
      <c r="B358" s="5">
        <v>0.42</v>
      </c>
      <c r="C358" s="2">
        <v>199</v>
      </c>
    </row>
    <row r="359" spans="1:3" x14ac:dyDescent="0.3">
      <c r="A359" s="2">
        <v>299</v>
      </c>
      <c r="B359" s="5">
        <v>0.43</v>
      </c>
      <c r="C359" s="2">
        <v>170</v>
      </c>
    </row>
    <row r="360" spans="1:3" x14ac:dyDescent="0.3">
      <c r="A360" s="2">
        <v>299</v>
      </c>
      <c r="B360" s="5">
        <v>0.52</v>
      </c>
      <c r="C360" s="2">
        <v>142</v>
      </c>
    </row>
    <row r="361" spans="1:3" x14ac:dyDescent="0.3">
      <c r="A361" s="2">
        <v>600</v>
      </c>
      <c r="B361" s="5">
        <v>0.79</v>
      </c>
      <c r="C361" s="2">
        <v>121</v>
      </c>
    </row>
    <row r="362" spans="1:3" x14ac:dyDescent="0.3">
      <c r="A362" s="2">
        <v>595</v>
      </c>
      <c r="B362" s="5">
        <v>0.76</v>
      </c>
      <c r="C362" s="2">
        <v>137</v>
      </c>
    </row>
    <row r="363" spans="1:3" x14ac:dyDescent="0.3">
      <c r="A363" s="2">
        <v>349</v>
      </c>
      <c r="B363" s="5">
        <v>0.42</v>
      </c>
      <c r="C363" s="2">
        <v>199</v>
      </c>
    </row>
    <row r="364" spans="1:3" x14ac:dyDescent="0.3">
      <c r="A364" s="2">
        <v>421</v>
      </c>
      <c r="B364" s="5">
        <v>0.59</v>
      </c>
      <c r="C364" s="2">
        <v>171</v>
      </c>
    </row>
    <row r="365" spans="1:3" x14ac:dyDescent="0.3">
      <c r="A365" s="2">
        <v>495</v>
      </c>
      <c r="B365" s="5">
        <v>0.39</v>
      </c>
      <c r="C365" s="2">
        <v>299</v>
      </c>
    </row>
    <row r="366" spans="1:3" x14ac:dyDescent="0.3">
      <c r="A366" s="2">
        <v>599</v>
      </c>
      <c r="B366" s="5">
        <v>0.71</v>
      </c>
      <c r="C366" s="2">
        <v>169</v>
      </c>
    </row>
    <row r="367" spans="1:3" x14ac:dyDescent="0.3">
      <c r="A367" s="2">
        <v>1533</v>
      </c>
      <c r="B367" s="5">
        <v>0.73</v>
      </c>
      <c r="C367" s="2">
        <v>399</v>
      </c>
    </row>
    <row r="368" spans="1:3" x14ac:dyDescent="0.3">
      <c r="A368" s="2">
        <v>399</v>
      </c>
      <c r="B368" s="5">
        <v>0.37</v>
      </c>
      <c r="C368" s="2">
        <v>249</v>
      </c>
    </row>
    <row r="369" spans="1:3" x14ac:dyDescent="0.3">
      <c r="A369" s="2">
        <v>349</v>
      </c>
      <c r="B369" s="5">
        <v>0.63</v>
      </c>
      <c r="C369" s="2">
        <v>129</v>
      </c>
    </row>
    <row r="370" spans="1:3" x14ac:dyDescent="0.3">
      <c r="A370" s="2">
        <v>499</v>
      </c>
      <c r="B370" s="5">
        <v>0.73</v>
      </c>
      <c r="C370" s="2">
        <v>134</v>
      </c>
    </row>
    <row r="371" spans="1:3" x14ac:dyDescent="0.3">
      <c r="A371" s="2">
        <v>499</v>
      </c>
      <c r="B371" s="5">
        <v>0.3</v>
      </c>
      <c r="C371" s="2">
        <v>349</v>
      </c>
    </row>
    <row r="372" spans="1:3" x14ac:dyDescent="0.3">
      <c r="A372" s="2">
        <v>399</v>
      </c>
      <c r="B372" s="5">
        <v>0.68</v>
      </c>
      <c r="C372" s="2">
        <v>125</v>
      </c>
    </row>
    <row r="373" spans="1:3" x14ac:dyDescent="0.3">
      <c r="A373" s="2">
        <v>449</v>
      </c>
      <c r="B373" s="5">
        <v>0.26</v>
      </c>
      <c r="C373" s="2">
        <v>329</v>
      </c>
    </row>
    <row r="374" spans="1:3" x14ac:dyDescent="0.3">
      <c r="A374" s="2">
        <v>499</v>
      </c>
      <c r="B374" s="5">
        <v>0.75</v>
      </c>
      <c r="C374" s="2">
        <v>123</v>
      </c>
    </row>
    <row r="375" spans="1:3" x14ac:dyDescent="0.3">
      <c r="A375" s="2">
        <v>449</v>
      </c>
      <c r="B375" s="5">
        <v>0.39</v>
      </c>
      <c r="C375" s="2">
        <v>271</v>
      </c>
    </row>
    <row r="376" spans="1:3" x14ac:dyDescent="0.3">
      <c r="A376" s="2">
        <v>449</v>
      </c>
      <c r="B376" s="5">
        <v>0.33</v>
      </c>
      <c r="C376" s="2">
        <v>299</v>
      </c>
    </row>
    <row r="377" spans="1:3" x14ac:dyDescent="0.3">
      <c r="A377" s="2">
        <v>449</v>
      </c>
      <c r="B377" s="5">
        <v>0.33</v>
      </c>
      <c r="C377" s="2">
        <v>299</v>
      </c>
    </row>
    <row r="378" spans="1:3" x14ac:dyDescent="0.3">
      <c r="A378" s="2">
        <v>396</v>
      </c>
      <c r="B378" s="5">
        <v>0.55000000000000004</v>
      </c>
      <c r="C378" s="2">
        <v>177</v>
      </c>
    </row>
    <row r="379" spans="1:3" x14ac:dyDescent="0.3">
      <c r="A379" s="2">
        <v>789</v>
      </c>
      <c r="B379" s="5">
        <v>0.66</v>
      </c>
      <c r="C379" s="2">
        <v>268</v>
      </c>
    </row>
    <row r="380" spans="1:3" x14ac:dyDescent="0.3">
      <c r="A380" s="2">
        <v>299</v>
      </c>
      <c r="B380" s="5">
        <v>0.54</v>
      </c>
      <c r="C380" s="2">
        <v>135</v>
      </c>
    </row>
    <row r="381" spans="1:3" x14ac:dyDescent="0.3">
      <c r="A381" s="2">
        <v>499</v>
      </c>
      <c r="B381" s="5">
        <v>0.66</v>
      </c>
      <c r="C381" s="2">
        <v>165</v>
      </c>
    </row>
    <row r="382" spans="1:3" x14ac:dyDescent="0.3">
      <c r="A382" s="2">
        <v>555</v>
      </c>
      <c r="B382" s="5">
        <v>0.4</v>
      </c>
      <c r="C382" s="2">
        <v>329</v>
      </c>
    </row>
    <row r="383" spans="1:3" x14ac:dyDescent="0.3">
      <c r="A383" s="2">
        <v>449</v>
      </c>
      <c r="B383" s="5">
        <v>0.26</v>
      </c>
      <c r="C383" s="2">
        <v>329</v>
      </c>
    </row>
    <row r="384" spans="1:3" x14ac:dyDescent="0.3">
      <c r="A384" s="2">
        <v>399</v>
      </c>
      <c r="B384" s="5">
        <v>0.66</v>
      </c>
      <c r="C384" s="2">
        <v>133</v>
      </c>
    </row>
    <row r="385" spans="1:3" x14ac:dyDescent="0.3">
      <c r="A385" s="2">
        <v>419</v>
      </c>
      <c r="B385" s="5">
        <v>0.31</v>
      </c>
      <c r="C385" s="2">
        <v>289</v>
      </c>
    </row>
    <row r="386" spans="1:3" x14ac:dyDescent="0.3">
      <c r="A386" s="2">
        <v>595</v>
      </c>
      <c r="B386" s="5">
        <v>0.49</v>
      </c>
      <c r="C386" s="2">
        <v>299</v>
      </c>
    </row>
    <row r="387" spans="1:3" x14ac:dyDescent="0.3">
      <c r="A387" s="2">
        <v>449</v>
      </c>
      <c r="B387" s="5">
        <v>0.33</v>
      </c>
      <c r="C387" s="2">
        <v>299</v>
      </c>
    </row>
    <row r="388" spans="1:3" x14ac:dyDescent="0.3">
      <c r="A388" s="2">
        <v>449</v>
      </c>
      <c r="B388" s="5">
        <v>0.6</v>
      </c>
      <c r="C388" s="2">
        <v>179</v>
      </c>
    </row>
    <row r="389" spans="1:3" x14ac:dyDescent="0.3">
      <c r="A389" s="2">
        <v>349</v>
      </c>
      <c r="B389" s="5">
        <v>0.42</v>
      </c>
      <c r="C389" s="2">
        <v>199</v>
      </c>
    </row>
    <row r="390" spans="1:3" x14ac:dyDescent="0.3">
      <c r="A390" s="2">
        <v>425</v>
      </c>
      <c r="B390" s="5">
        <v>0.35</v>
      </c>
      <c r="C390" s="2">
        <v>275</v>
      </c>
    </row>
    <row r="391" spans="1:3" x14ac:dyDescent="0.3">
      <c r="A391" s="2">
        <v>499</v>
      </c>
      <c r="B391" s="5">
        <v>0.5</v>
      </c>
      <c r="C391" s="2">
        <v>249</v>
      </c>
    </row>
    <row r="392" spans="1:3" x14ac:dyDescent="0.3">
      <c r="A392" s="2">
        <v>449</v>
      </c>
      <c r="B392" s="5">
        <v>0.33</v>
      </c>
      <c r="C392" s="2">
        <v>299</v>
      </c>
    </row>
    <row r="393" spans="1:3" x14ac:dyDescent="0.3">
      <c r="A393" s="2">
        <v>999</v>
      </c>
      <c r="B393" s="5">
        <v>0.62</v>
      </c>
      <c r="C393" s="2">
        <v>379</v>
      </c>
    </row>
    <row r="394" spans="1:3" x14ac:dyDescent="0.3">
      <c r="A394" s="2">
        <v>399</v>
      </c>
      <c r="B394" s="5">
        <v>0.5</v>
      </c>
      <c r="C394" s="2">
        <v>199</v>
      </c>
    </row>
    <row r="395" spans="1:3" x14ac:dyDescent="0.3">
      <c r="A395" s="2">
        <v>349</v>
      </c>
      <c r="B395" s="5">
        <v>0.42</v>
      </c>
      <c r="C395" s="2">
        <v>199</v>
      </c>
    </row>
    <row r="396" spans="1:3" x14ac:dyDescent="0.3">
      <c r="A396" s="2">
        <v>625</v>
      </c>
      <c r="B396" s="5">
        <v>0.52</v>
      </c>
      <c r="C396" s="2">
        <v>298</v>
      </c>
    </row>
    <row r="397" spans="1:3" x14ac:dyDescent="0.3">
      <c r="A397" s="2">
        <v>349</v>
      </c>
      <c r="B397" s="5">
        <v>0.42</v>
      </c>
      <c r="C397" s="2">
        <v>199</v>
      </c>
    </row>
    <row r="398" spans="1:3" x14ac:dyDescent="0.3">
      <c r="A398" s="2">
        <v>599</v>
      </c>
      <c r="B398" s="5">
        <v>0.5</v>
      </c>
      <c r="C398" s="2">
        <v>299</v>
      </c>
    </row>
    <row r="399" spans="1:3" x14ac:dyDescent="0.3">
      <c r="A399" s="2">
        <v>699</v>
      </c>
      <c r="B399" s="5">
        <v>0.57999999999999996</v>
      </c>
      <c r="C399" s="2">
        <v>290</v>
      </c>
    </row>
    <row r="400" spans="1:3" x14ac:dyDescent="0.3">
      <c r="A400" s="2">
        <v>599</v>
      </c>
      <c r="B400" s="5">
        <v>0.61</v>
      </c>
      <c r="C400" s="2">
        <v>229</v>
      </c>
    </row>
    <row r="401" spans="1:3" x14ac:dyDescent="0.3">
      <c r="A401" s="2">
        <v>349</v>
      </c>
      <c r="B401" s="5">
        <v>0.42</v>
      </c>
      <c r="C401" s="2">
        <v>199</v>
      </c>
    </row>
    <row r="402" spans="1:3" x14ac:dyDescent="0.3">
      <c r="A402" s="2">
        <v>999</v>
      </c>
      <c r="B402" s="5">
        <v>0.6</v>
      </c>
      <c r="C402" s="2">
        <v>399</v>
      </c>
    </row>
    <row r="403" spans="1:3" x14ac:dyDescent="0.3">
      <c r="A403" s="2">
        <v>699</v>
      </c>
      <c r="B403" s="5">
        <v>0.6</v>
      </c>
      <c r="C403" s="2">
        <v>279</v>
      </c>
    </row>
  </sheetData>
  <mergeCells count="5">
    <mergeCell ref="E5:P6"/>
    <mergeCell ref="F12:N12"/>
    <mergeCell ref="F15:P16"/>
    <mergeCell ref="F18:P21"/>
    <mergeCell ref="E8:Q1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5A84-BB2A-422E-9504-A5A337078DA9}">
  <dimension ref="C5:C405"/>
  <sheetViews>
    <sheetView workbookViewId="0">
      <selection activeCell="J23" sqref="J23"/>
    </sheetView>
  </sheetViews>
  <sheetFormatPr defaultRowHeight="15.6" x14ac:dyDescent="0.3"/>
  <cols>
    <col min="3" max="3" width="11.8984375" bestFit="1" customWidth="1"/>
  </cols>
  <sheetData>
    <row r="5" spans="3:3" x14ac:dyDescent="0.3">
      <c r="C5" s="6" t="s">
        <v>2</v>
      </c>
    </row>
    <row r="6" spans="3:3" x14ac:dyDescent="0.3">
      <c r="C6" s="4">
        <v>199</v>
      </c>
    </row>
    <row r="7" spans="3:3" x14ac:dyDescent="0.3">
      <c r="C7" s="4">
        <v>130</v>
      </c>
    </row>
    <row r="8" spans="3:3" x14ac:dyDescent="0.3">
      <c r="C8" s="4">
        <v>249</v>
      </c>
    </row>
    <row r="9" spans="3:3" x14ac:dyDescent="0.3">
      <c r="C9" s="4">
        <v>120</v>
      </c>
    </row>
    <row r="10" spans="3:3" x14ac:dyDescent="0.3">
      <c r="C10" s="4">
        <v>124</v>
      </c>
    </row>
    <row r="11" spans="3:3" x14ac:dyDescent="0.3">
      <c r="C11" s="4">
        <v>120</v>
      </c>
    </row>
    <row r="12" spans="3:3" x14ac:dyDescent="0.3">
      <c r="C12" s="4">
        <v>125</v>
      </c>
    </row>
    <row r="13" spans="3:3" x14ac:dyDescent="0.3">
      <c r="C13" s="4">
        <v>135</v>
      </c>
    </row>
    <row r="14" spans="3:3" x14ac:dyDescent="0.3">
      <c r="C14" s="4">
        <v>121</v>
      </c>
    </row>
    <row r="15" spans="3:3" x14ac:dyDescent="0.3">
      <c r="C15" s="4">
        <v>125</v>
      </c>
    </row>
    <row r="16" spans="3:3" x14ac:dyDescent="0.3">
      <c r="C16" s="4">
        <v>130</v>
      </c>
    </row>
    <row r="17" spans="3:3" x14ac:dyDescent="0.3">
      <c r="C17" s="4">
        <v>128</v>
      </c>
    </row>
    <row r="18" spans="3:3" x14ac:dyDescent="0.3">
      <c r="C18" s="4">
        <v>130</v>
      </c>
    </row>
    <row r="19" spans="3:3" x14ac:dyDescent="0.3">
      <c r="C19" s="4">
        <v>279</v>
      </c>
    </row>
    <row r="20" spans="3:3" x14ac:dyDescent="0.3">
      <c r="C20" s="4">
        <v>140</v>
      </c>
    </row>
    <row r="21" spans="3:3" x14ac:dyDescent="0.3">
      <c r="C21" s="4">
        <v>126</v>
      </c>
    </row>
    <row r="22" spans="3:3" x14ac:dyDescent="0.3">
      <c r="C22" s="4">
        <v>120</v>
      </c>
    </row>
    <row r="23" spans="3:3" x14ac:dyDescent="0.3">
      <c r="C23" s="4">
        <v>179</v>
      </c>
    </row>
    <row r="24" spans="3:3" x14ac:dyDescent="0.3">
      <c r="C24" s="4">
        <v>186</v>
      </c>
    </row>
    <row r="25" spans="3:3" x14ac:dyDescent="0.3">
      <c r="C25" s="4">
        <v>185</v>
      </c>
    </row>
    <row r="26" spans="3:3" x14ac:dyDescent="0.3">
      <c r="C26" s="4">
        <v>160</v>
      </c>
    </row>
    <row r="27" spans="3:3" x14ac:dyDescent="0.3">
      <c r="C27" s="4">
        <v>119</v>
      </c>
    </row>
    <row r="28" spans="3:3" x14ac:dyDescent="0.3">
      <c r="C28" s="4">
        <v>139</v>
      </c>
    </row>
    <row r="29" spans="3:3" x14ac:dyDescent="0.3">
      <c r="C29" s="4">
        <v>118</v>
      </c>
    </row>
    <row r="30" spans="3:3" x14ac:dyDescent="0.3">
      <c r="C30" s="4">
        <v>149</v>
      </c>
    </row>
    <row r="31" spans="3:3" x14ac:dyDescent="0.3">
      <c r="C31" s="4">
        <v>118</v>
      </c>
    </row>
    <row r="32" spans="3:3" x14ac:dyDescent="0.3">
      <c r="C32" s="4">
        <v>123</v>
      </c>
    </row>
    <row r="33" spans="3:3" x14ac:dyDescent="0.3">
      <c r="C33" s="4">
        <v>126</v>
      </c>
    </row>
    <row r="34" spans="3:3" x14ac:dyDescent="0.3">
      <c r="C34" s="4">
        <v>499</v>
      </c>
    </row>
    <row r="35" spans="3:3" x14ac:dyDescent="0.3">
      <c r="C35" s="4">
        <v>121</v>
      </c>
    </row>
    <row r="36" spans="3:3" x14ac:dyDescent="0.3">
      <c r="C36" s="4">
        <v>115</v>
      </c>
    </row>
    <row r="37" spans="3:3" x14ac:dyDescent="0.3">
      <c r="C37" s="4">
        <v>140</v>
      </c>
    </row>
    <row r="38" spans="3:3" x14ac:dyDescent="0.3">
      <c r="C38" s="4">
        <v>140</v>
      </c>
    </row>
    <row r="39" spans="3:3" x14ac:dyDescent="0.3">
      <c r="C39" s="4">
        <v>140</v>
      </c>
    </row>
    <row r="40" spans="3:3" x14ac:dyDescent="0.3">
      <c r="C40" s="4">
        <v>123</v>
      </c>
    </row>
    <row r="41" spans="3:3" x14ac:dyDescent="0.3">
      <c r="C41" s="4">
        <v>127</v>
      </c>
    </row>
    <row r="42" spans="3:3" x14ac:dyDescent="0.3">
      <c r="C42" s="4">
        <v>180</v>
      </c>
    </row>
    <row r="43" spans="3:3" x14ac:dyDescent="0.3">
      <c r="C43" s="4">
        <v>130</v>
      </c>
    </row>
    <row r="44" spans="3:3" x14ac:dyDescent="0.3">
      <c r="C44" s="4">
        <v>258</v>
      </c>
    </row>
    <row r="45" spans="3:3" x14ac:dyDescent="0.3">
      <c r="C45" s="4">
        <v>125</v>
      </c>
    </row>
    <row r="46" spans="3:3" x14ac:dyDescent="0.3">
      <c r="C46" s="4">
        <v>125</v>
      </c>
    </row>
    <row r="47" spans="3:3" x14ac:dyDescent="0.3">
      <c r="C47" s="4">
        <v>258</v>
      </c>
    </row>
    <row r="48" spans="3:3" x14ac:dyDescent="0.3">
      <c r="C48" s="4">
        <v>180</v>
      </c>
    </row>
    <row r="49" spans="3:3" x14ac:dyDescent="0.3">
      <c r="C49" s="4">
        <v>127</v>
      </c>
    </row>
    <row r="50" spans="3:3" x14ac:dyDescent="0.3">
      <c r="C50" s="4">
        <v>125</v>
      </c>
    </row>
    <row r="51" spans="3:3" x14ac:dyDescent="0.3">
      <c r="C51" s="4">
        <v>130</v>
      </c>
    </row>
    <row r="52" spans="3:3" x14ac:dyDescent="0.3">
      <c r="C52" s="4">
        <v>189</v>
      </c>
    </row>
    <row r="53" spans="3:3" x14ac:dyDescent="0.3">
      <c r="C53" s="4">
        <v>132</v>
      </c>
    </row>
    <row r="54" spans="3:3" x14ac:dyDescent="0.3">
      <c r="C54" s="4">
        <v>123</v>
      </c>
    </row>
    <row r="55" spans="3:3" x14ac:dyDescent="0.3">
      <c r="C55" s="4">
        <v>165</v>
      </c>
    </row>
    <row r="56" spans="3:3" x14ac:dyDescent="0.3">
      <c r="C56" s="4">
        <v>256</v>
      </c>
    </row>
    <row r="57" spans="3:3" x14ac:dyDescent="0.3">
      <c r="C57" s="4">
        <v>196</v>
      </c>
    </row>
    <row r="58" spans="3:3" x14ac:dyDescent="0.3">
      <c r="C58" s="4">
        <v>125</v>
      </c>
    </row>
    <row r="59" spans="3:3" x14ac:dyDescent="0.3">
      <c r="C59" s="4">
        <v>126</v>
      </c>
    </row>
    <row r="60" spans="3:3" x14ac:dyDescent="0.3">
      <c r="C60" s="4">
        <v>381</v>
      </c>
    </row>
    <row r="61" spans="3:3" x14ac:dyDescent="0.3">
      <c r="C61" s="4">
        <v>114</v>
      </c>
    </row>
    <row r="62" spans="3:3" x14ac:dyDescent="0.3">
      <c r="C62" s="4">
        <v>120</v>
      </c>
    </row>
    <row r="63" spans="3:3" x14ac:dyDescent="0.3">
      <c r="C63" s="4">
        <v>399</v>
      </c>
    </row>
    <row r="64" spans="3:3" x14ac:dyDescent="0.3">
      <c r="C64" s="4">
        <v>299</v>
      </c>
    </row>
    <row r="65" spans="3:3" x14ac:dyDescent="0.3">
      <c r="C65" s="4">
        <v>139</v>
      </c>
    </row>
    <row r="66" spans="3:3" x14ac:dyDescent="0.3">
      <c r="C66" s="4">
        <v>226</v>
      </c>
    </row>
    <row r="67" spans="3:3" x14ac:dyDescent="0.3">
      <c r="C67" s="4">
        <v>125</v>
      </c>
    </row>
    <row r="68" spans="3:3" x14ac:dyDescent="0.3">
      <c r="C68" s="4">
        <v>118</v>
      </c>
    </row>
    <row r="69" spans="3:3" x14ac:dyDescent="0.3">
      <c r="C69" s="4">
        <v>118</v>
      </c>
    </row>
    <row r="70" spans="3:3" x14ac:dyDescent="0.3">
      <c r="C70" s="4">
        <v>149</v>
      </c>
    </row>
    <row r="71" spans="3:3" x14ac:dyDescent="0.3">
      <c r="C71" s="4">
        <v>132</v>
      </c>
    </row>
    <row r="72" spans="3:3" x14ac:dyDescent="0.3">
      <c r="C72" s="4">
        <v>119</v>
      </c>
    </row>
    <row r="73" spans="3:3" x14ac:dyDescent="0.3">
      <c r="C73" s="4">
        <v>149</v>
      </c>
    </row>
    <row r="74" spans="3:3" x14ac:dyDescent="0.3">
      <c r="C74" s="4">
        <v>120</v>
      </c>
    </row>
    <row r="75" spans="3:3" x14ac:dyDescent="0.3">
      <c r="C75" s="4">
        <v>160</v>
      </c>
    </row>
    <row r="76" spans="3:3" x14ac:dyDescent="0.3">
      <c r="C76" s="4">
        <v>135</v>
      </c>
    </row>
    <row r="77" spans="3:3" x14ac:dyDescent="0.3">
      <c r="C77" s="4">
        <v>127</v>
      </c>
    </row>
    <row r="78" spans="3:3" x14ac:dyDescent="0.3">
      <c r="C78" s="4">
        <v>122</v>
      </c>
    </row>
    <row r="79" spans="3:3" x14ac:dyDescent="0.3">
      <c r="C79" s="4">
        <v>115</v>
      </c>
    </row>
    <row r="80" spans="3:3" x14ac:dyDescent="0.3">
      <c r="C80" s="4">
        <v>118</v>
      </c>
    </row>
    <row r="81" spans="3:3" x14ac:dyDescent="0.3">
      <c r="C81" s="4">
        <v>122</v>
      </c>
    </row>
    <row r="82" spans="3:3" x14ac:dyDescent="0.3">
      <c r="C82" s="4">
        <v>125</v>
      </c>
    </row>
    <row r="83" spans="3:3" x14ac:dyDescent="0.3">
      <c r="C83" s="4">
        <v>120</v>
      </c>
    </row>
    <row r="84" spans="3:3" x14ac:dyDescent="0.3">
      <c r="C84" s="4">
        <v>117</v>
      </c>
    </row>
    <row r="85" spans="3:3" x14ac:dyDescent="0.3">
      <c r="C85" s="4">
        <v>134</v>
      </c>
    </row>
    <row r="86" spans="3:3" x14ac:dyDescent="0.3">
      <c r="C86" s="4">
        <v>135</v>
      </c>
    </row>
    <row r="87" spans="3:3" x14ac:dyDescent="0.3">
      <c r="C87" s="4">
        <v>146</v>
      </c>
    </row>
    <row r="88" spans="3:3" x14ac:dyDescent="0.3">
      <c r="C88" s="4">
        <v>135</v>
      </c>
    </row>
    <row r="89" spans="3:3" x14ac:dyDescent="0.3">
      <c r="C89" s="4">
        <v>119</v>
      </c>
    </row>
    <row r="90" spans="3:3" x14ac:dyDescent="0.3">
      <c r="C90" s="4">
        <v>112</v>
      </c>
    </row>
    <row r="91" spans="3:3" x14ac:dyDescent="0.3">
      <c r="C91" s="4">
        <v>146</v>
      </c>
    </row>
    <row r="92" spans="3:3" x14ac:dyDescent="0.3">
      <c r="C92" s="4">
        <v>399</v>
      </c>
    </row>
    <row r="93" spans="3:3" x14ac:dyDescent="0.3">
      <c r="C93" s="4">
        <v>191</v>
      </c>
    </row>
    <row r="94" spans="3:3" x14ac:dyDescent="0.3">
      <c r="C94" s="4">
        <v>124</v>
      </c>
    </row>
    <row r="95" spans="3:3" x14ac:dyDescent="0.3">
      <c r="C95" s="4">
        <v>161</v>
      </c>
    </row>
    <row r="96" spans="3:3" x14ac:dyDescent="0.3">
      <c r="C96" s="4">
        <v>125</v>
      </c>
    </row>
    <row r="97" spans="3:3" x14ac:dyDescent="0.3">
      <c r="C97" s="4">
        <v>121</v>
      </c>
    </row>
    <row r="98" spans="3:3" x14ac:dyDescent="0.3">
      <c r="C98" s="4">
        <v>189</v>
      </c>
    </row>
    <row r="99" spans="3:3" x14ac:dyDescent="0.3">
      <c r="C99" s="4">
        <v>220</v>
      </c>
    </row>
    <row r="100" spans="3:3" x14ac:dyDescent="0.3">
      <c r="C100" s="4">
        <v>297</v>
      </c>
    </row>
    <row r="101" spans="3:3" x14ac:dyDescent="0.3">
      <c r="C101" s="4">
        <v>133</v>
      </c>
    </row>
    <row r="102" spans="3:3" x14ac:dyDescent="0.3">
      <c r="C102" s="4">
        <v>174</v>
      </c>
    </row>
    <row r="103" spans="3:3" x14ac:dyDescent="0.3">
      <c r="C103" s="4">
        <v>139</v>
      </c>
    </row>
    <row r="104" spans="3:3" x14ac:dyDescent="0.3">
      <c r="C104" s="4">
        <v>175</v>
      </c>
    </row>
    <row r="105" spans="3:3" x14ac:dyDescent="0.3">
      <c r="C105" s="4">
        <v>125</v>
      </c>
    </row>
    <row r="106" spans="3:3" x14ac:dyDescent="0.3">
      <c r="C106" s="4">
        <v>124</v>
      </c>
    </row>
    <row r="107" spans="3:3" x14ac:dyDescent="0.3">
      <c r="C107" s="4">
        <v>120</v>
      </c>
    </row>
    <row r="108" spans="3:3" x14ac:dyDescent="0.3">
      <c r="C108" s="4">
        <v>185</v>
      </c>
    </row>
    <row r="109" spans="3:3" x14ac:dyDescent="0.3">
      <c r="C109" s="4">
        <v>126</v>
      </c>
    </row>
    <row r="110" spans="3:3" x14ac:dyDescent="0.3">
      <c r="C110" s="4">
        <v>167</v>
      </c>
    </row>
    <row r="111" spans="3:3" x14ac:dyDescent="0.3">
      <c r="C111" s="4">
        <v>135</v>
      </c>
    </row>
    <row r="112" spans="3:3" x14ac:dyDescent="0.3">
      <c r="C112" s="4">
        <v>299</v>
      </c>
    </row>
    <row r="113" spans="3:3" x14ac:dyDescent="0.3">
      <c r="C113" s="4">
        <v>125</v>
      </c>
    </row>
    <row r="114" spans="3:3" x14ac:dyDescent="0.3">
      <c r="C114" s="4">
        <v>145</v>
      </c>
    </row>
    <row r="115" spans="3:3" x14ac:dyDescent="0.3">
      <c r="C115" s="4">
        <v>152</v>
      </c>
    </row>
    <row r="116" spans="3:3" x14ac:dyDescent="0.3">
      <c r="C116" s="4">
        <v>130</v>
      </c>
    </row>
    <row r="117" spans="3:3" x14ac:dyDescent="0.3">
      <c r="C117" s="4">
        <v>130</v>
      </c>
    </row>
    <row r="118" spans="3:3" x14ac:dyDescent="0.3">
      <c r="C118" s="4">
        <v>135</v>
      </c>
    </row>
    <row r="119" spans="3:3" x14ac:dyDescent="0.3">
      <c r="C119" s="4">
        <v>146</v>
      </c>
    </row>
    <row r="120" spans="3:3" x14ac:dyDescent="0.3">
      <c r="C120" s="4">
        <v>199</v>
      </c>
    </row>
    <row r="121" spans="3:3" x14ac:dyDescent="0.3">
      <c r="C121" s="4">
        <v>169</v>
      </c>
    </row>
    <row r="122" spans="3:3" x14ac:dyDescent="0.3">
      <c r="C122" s="4">
        <v>128</v>
      </c>
    </row>
    <row r="123" spans="3:3" x14ac:dyDescent="0.3">
      <c r="C123" s="4">
        <v>169</v>
      </c>
    </row>
    <row r="124" spans="3:3" x14ac:dyDescent="0.3">
      <c r="C124" s="4">
        <v>120</v>
      </c>
    </row>
    <row r="125" spans="3:3" x14ac:dyDescent="0.3">
      <c r="C125" s="4">
        <v>199</v>
      </c>
    </row>
    <row r="126" spans="3:3" x14ac:dyDescent="0.3">
      <c r="C126" s="4">
        <v>123</v>
      </c>
    </row>
    <row r="127" spans="3:3" x14ac:dyDescent="0.3">
      <c r="C127" s="4">
        <v>127</v>
      </c>
    </row>
    <row r="128" spans="3:3" x14ac:dyDescent="0.3">
      <c r="C128" s="4">
        <v>140</v>
      </c>
    </row>
    <row r="129" spans="3:3" x14ac:dyDescent="0.3">
      <c r="C129" s="4">
        <v>130</v>
      </c>
    </row>
    <row r="130" spans="3:3" x14ac:dyDescent="0.3">
      <c r="C130" s="4">
        <v>483</v>
      </c>
    </row>
    <row r="131" spans="3:3" x14ac:dyDescent="0.3">
      <c r="C131" s="4">
        <v>180</v>
      </c>
    </row>
    <row r="132" spans="3:3" x14ac:dyDescent="0.3">
      <c r="C132" s="4">
        <v>250</v>
      </c>
    </row>
    <row r="133" spans="3:3" x14ac:dyDescent="0.3">
      <c r="C133" s="4">
        <v>136</v>
      </c>
    </row>
    <row r="134" spans="3:3" x14ac:dyDescent="0.3">
      <c r="C134" s="4">
        <v>170</v>
      </c>
    </row>
    <row r="135" spans="3:3" x14ac:dyDescent="0.3">
      <c r="C135" s="4">
        <v>125</v>
      </c>
    </row>
    <row r="136" spans="3:3" x14ac:dyDescent="0.3">
      <c r="C136" s="4">
        <v>115</v>
      </c>
    </row>
    <row r="137" spans="3:3" x14ac:dyDescent="0.3">
      <c r="C137" s="4">
        <v>127</v>
      </c>
    </row>
    <row r="138" spans="3:3" x14ac:dyDescent="0.3">
      <c r="C138" s="4">
        <v>130</v>
      </c>
    </row>
    <row r="139" spans="3:3" x14ac:dyDescent="0.3">
      <c r="C139" s="4">
        <v>129</v>
      </c>
    </row>
    <row r="140" spans="3:3" x14ac:dyDescent="0.3">
      <c r="C140" s="4">
        <v>140</v>
      </c>
    </row>
    <row r="141" spans="3:3" x14ac:dyDescent="0.3">
      <c r="C141" s="4">
        <v>165</v>
      </c>
    </row>
    <row r="142" spans="3:3" x14ac:dyDescent="0.3">
      <c r="C142" s="4">
        <v>196</v>
      </c>
    </row>
    <row r="143" spans="3:3" x14ac:dyDescent="0.3">
      <c r="C143" s="4">
        <v>120</v>
      </c>
    </row>
    <row r="144" spans="3:3" x14ac:dyDescent="0.3">
      <c r="C144" s="4">
        <v>138</v>
      </c>
    </row>
    <row r="145" spans="3:3" x14ac:dyDescent="0.3">
      <c r="C145" s="4">
        <v>160</v>
      </c>
    </row>
    <row r="146" spans="3:3" x14ac:dyDescent="0.3">
      <c r="C146" s="4">
        <v>125</v>
      </c>
    </row>
    <row r="147" spans="3:3" x14ac:dyDescent="0.3">
      <c r="C147" s="4">
        <v>125</v>
      </c>
    </row>
    <row r="148" spans="3:3" x14ac:dyDescent="0.3">
      <c r="C148" s="4">
        <v>122</v>
      </c>
    </row>
    <row r="149" spans="3:3" x14ac:dyDescent="0.3">
      <c r="C149" s="4">
        <v>173</v>
      </c>
    </row>
    <row r="150" spans="3:3" x14ac:dyDescent="0.3">
      <c r="C150" s="4">
        <v>123</v>
      </c>
    </row>
    <row r="151" spans="3:3" x14ac:dyDescent="0.3">
      <c r="C151" s="4">
        <v>121</v>
      </c>
    </row>
    <row r="152" spans="3:3" x14ac:dyDescent="0.3">
      <c r="C152" s="4">
        <v>294</v>
      </c>
    </row>
    <row r="153" spans="3:3" x14ac:dyDescent="0.3">
      <c r="C153" s="4">
        <v>160</v>
      </c>
    </row>
    <row r="154" spans="3:3" x14ac:dyDescent="0.3">
      <c r="C154" s="4">
        <v>135</v>
      </c>
    </row>
    <row r="155" spans="3:3" x14ac:dyDescent="0.3">
      <c r="C155" s="4">
        <v>183</v>
      </c>
    </row>
    <row r="156" spans="3:3" x14ac:dyDescent="0.3">
      <c r="C156" s="4">
        <v>182</v>
      </c>
    </row>
    <row r="157" spans="3:3" x14ac:dyDescent="0.3">
      <c r="C157" s="4">
        <v>126</v>
      </c>
    </row>
    <row r="158" spans="3:3" x14ac:dyDescent="0.3">
      <c r="C158" s="4">
        <v>123</v>
      </c>
    </row>
    <row r="159" spans="3:3" x14ac:dyDescent="0.3">
      <c r="C159" s="4">
        <v>127</v>
      </c>
    </row>
    <row r="160" spans="3:3" x14ac:dyDescent="0.3">
      <c r="C160" s="4">
        <v>155</v>
      </c>
    </row>
    <row r="161" spans="3:3" x14ac:dyDescent="0.3">
      <c r="C161" s="4">
        <v>119</v>
      </c>
    </row>
    <row r="162" spans="3:3" x14ac:dyDescent="0.3">
      <c r="C162" s="4">
        <v>158</v>
      </c>
    </row>
    <row r="163" spans="3:3" x14ac:dyDescent="0.3">
      <c r="C163" s="4">
        <v>119</v>
      </c>
    </row>
    <row r="164" spans="3:3" x14ac:dyDescent="0.3">
      <c r="C164" s="4">
        <v>131</v>
      </c>
    </row>
    <row r="165" spans="3:3" x14ac:dyDescent="0.3">
      <c r="C165" s="4">
        <v>119</v>
      </c>
    </row>
    <row r="166" spans="3:3" x14ac:dyDescent="0.3">
      <c r="C166" s="4">
        <v>126</v>
      </c>
    </row>
    <row r="167" spans="3:3" x14ac:dyDescent="0.3">
      <c r="C167" s="4">
        <v>126</v>
      </c>
    </row>
    <row r="168" spans="3:3" x14ac:dyDescent="0.3">
      <c r="C168" s="4">
        <v>123</v>
      </c>
    </row>
    <row r="169" spans="3:3" x14ac:dyDescent="0.3">
      <c r="C169" s="4">
        <v>126</v>
      </c>
    </row>
    <row r="170" spans="3:3" x14ac:dyDescent="0.3">
      <c r="C170" s="4">
        <v>123</v>
      </c>
    </row>
    <row r="171" spans="3:3" x14ac:dyDescent="0.3">
      <c r="C171" s="4">
        <v>161</v>
      </c>
    </row>
    <row r="172" spans="3:3" x14ac:dyDescent="0.3">
      <c r="C172" s="4">
        <v>299</v>
      </c>
    </row>
    <row r="173" spans="3:3" x14ac:dyDescent="0.3">
      <c r="C173" s="4">
        <v>137</v>
      </c>
    </row>
    <row r="174" spans="3:3" x14ac:dyDescent="0.3">
      <c r="C174" s="4">
        <v>122</v>
      </c>
    </row>
    <row r="175" spans="3:3" x14ac:dyDescent="0.3">
      <c r="C175" s="4">
        <v>125</v>
      </c>
    </row>
    <row r="176" spans="3:3" x14ac:dyDescent="0.3">
      <c r="C176" s="4">
        <v>129</v>
      </c>
    </row>
    <row r="177" spans="3:3" x14ac:dyDescent="0.3">
      <c r="C177" s="4">
        <v>119</v>
      </c>
    </row>
    <row r="178" spans="3:3" x14ac:dyDescent="0.3">
      <c r="C178" s="4">
        <v>390</v>
      </c>
    </row>
    <row r="179" spans="3:3" x14ac:dyDescent="0.3">
      <c r="C179" s="4">
        <v>118</v>
      </c>
    </row>
    <row r="180" spans="3:3" x14ac:dyDescent="0.3">
      <c r="C180" s="4">
        <v>210</v>
      </c>
    </row>
    <row r="181" spans="3:3" x14ac:dyDescent="0.3">
      <c r="C181" s="4">
        <v>122</v>
      </c>
    </row>
    <row r="182" spans="3:3" x14ac:dyDescent="0.3">
      <c r="C182" s="4">
        <v>142</v>
      </c>
    </row>
    <row r="183" spans="3:3" x14ac:dyDescent="0.3">
      <c r="C183" s="4">
        <v>145</v>
      </c>
    </row>
    <row r="184" spans="3:3" x14ac:dyDescent="0.3">
      <c r="C184" s="4">
        <v>140</v>
      </c>
    </row>
    <row r="185" spans="3:3" x14ac:dyDescent="0.3">
      <c r="C185" s="4">
        <v>129</v>
      </c>
    </row>
    <row r="186" spans="3:3" x14ac:dyDescent="0.3">
      <c r="C186" s="4">
        <v>126</v>
      </c>
    </row>
    <row r="187" spans="3:3" x14ac:dyDescent="0.3">
      <c r="C187" s="4">
        <v>126</v>
      </c>
    </row>
    <row r="188" spans="3:3" x14ac:dyDescent="0.3">
      <c r="C188" s="4">
        <v>133</v>
      </c>
    </row>
    <row r="189" spans="3:3" x14ac:dyDescent="0.3">
      <c r="C189" s="4">
        <v>125</v>
      </c>
    </row>
    <row r="190" spans="3:3" x14ac:dyDescent="0.3">
      <c r="C190" s="4">
        <v>174</v>
      </c>
    </row>
    <row r="191" spans="3:3" x14ac:dyDescent="0.3">
      <c r="C191" s="4">
        <v>135</v>
      </c>
    </row>
    <row r="192" spans="3:3" x14ac:dyDescent="0.3">
      <c r="C192" s="4">
        <v>599</v>
      </c>
    </row>
    <row r="193" spans="3:3" x14ac:dyDescent="0.3">
      <c r="C193" s="4">
        <v>145</v>
      </c>
    </row>
    <row r="194" spans="3:3" x14ac:dyDescent="0.3">
      <c r="C194" s="4">
        <v>139</v>
      </c>
    </row>
    <row r="195" spans="3:3" x14ac:dyDescent="0.3">
      <c r="C195" s="4">
        <v>125</v>
      </c>
    </row>
    <row r="196" spans="3:3" x14ac:dyDescent="0.3">
      <c r="C196" s="4">
        <v>127</v>
      </c>
    </row>
    <row r="197" spans="3:3" x14ac:dyDescent="0.3">
      <c r="C197" s="4">
        <v>275</v>
      </c>
    </row>
    <row r="198" spans="3:3" x14ac:dyDescent="0.3">
      <c r="C198" s="4">
        <v>126</v>
      </c>
    </row>
    <row r="199" spans="3:3" x14ac:dyDescent="0.3">
      <c r="C199" s="4">
        <v>128</v>
      </c>
    </row>
    <row r="200" spans="3:3" x14ac:dyDescent="0.3">
      <c r="C200" s="4">
        <v>129</v>
      </c>
    </row>
    <row r="201" spans="3:3" x14ac:dyDescent="0.3">
      <c r="C201" s="4">
        <v>127</v>
      </c>
    </row>
    <row r="202" spans="3:3" x14ac:dyDescent="0.3">
      <c r="C202" s="4">
        <v>128</v>
      </c>
    </row>
    <row r="203" spans="3:3" x14ac:dyDescent="0.3">
      <c r="C203" s="4">
        <v>163</v>
      </c>
    </row>
    <row r="204" spans="3:3" x14ac:dyDescent="0.3">
      <c r="C204" s="4">
        <v>132</v>
      </c>
    </row>
    <row r="205" spans="3:3" x14ac:dyDescent="0.3">
      <c r="C205" s="4">
        <v>140</v>
      </c>
    </row>
    <row r="206" spans="3:3" x14ac:dyDescent="0.3">
      <c r="C206" s="4">
        <v>130</v>
      </c>
    </row>
    <row r="207" spans="3:3" x14ac:dyDescent="0.3">
      <c r="C207" s="4">
        <v>129</v>
      </c>
    </row>
    <row r="208" spans="3:3" x14ac:dyDescent="0.3">
      <c r="C208" s="4">
        <v>155</v>
      </c>
    </row>
    <row r="209" spans="3:3" x14ac:dyDescent="0.3">
      <c r="C209" s="4">
        <v>239</v>
      </c>
    </row>
    <row r="210" spans="3:3" x14ac:dyDescent="0.3">
      <c r="C210" s="4">
        <v>129</v>
      </c>
    </row>
    <row r="211" spans="3:3" x14ac:dyDescent="0.3">
      <c r="C211" s="4">
        <v>128</v>
      </c>
    </row>
    <row r="212" spans="3:3" x14ac:dyDescent="0.3">
      <c r="C212" s="4">
        <v>128</v>
      </c>
    </row>
    <row r="213" spans="3:3" x14ac:dyDescent="0.3">
      <c r="C213" s="4">
        <v>126</v>
      </c>
    </row>
    <row r="214" spans="3:3" x14ac:dyDescent="0.3">
      <c r="C214" s="4">
        <v>139</v>
      </c>
    </row>
    <row r="215" spans="3:3" x14ac:dyDescent="0.3">
      <c r="C215" s="4">
        <v>160</v>
      </c>
    </row>
    <row r="216" spans="3:3" x14ac:dyDescent="0.3">
      <c r="C216" s="4">
        <v>135</v>
      </c>
    </row>
    <row r="217" spans="3:3" x14ac:dyDescent="0.3">
      <c r="C217" s="4">
        <v>124</v>
      </c>
    </row>
    <row r="218" spans="3:3" x14ac:dyDescent="0.3">
      <c r="C218" s="4">
        <v>127</v>
      </c>
    </row>
    <row r="219" spans="3:3" x14ac:dyDescent="0.3">
      <c r="C219" s="4">
        <v>132</v>
      </c>
    </row>
    <row r="220" spans="3:3" x14ac:dyDescent="0.3">
      <c r="C220" s="4">
        <v>127</v>
      </c>
    </row>
    <row r="221" spans="3:3" x14ac:dyDescent="0.3">
      <c r="C221" s="4">
        <v>140</v>
      </c>
    </row>
    <row r="222" spans="3:3" x14ac:dyDescent="0.3">
      <c r="C222" s="4">
        <v>120</v>
      </c>
    </row>
    <row r="223" spans="3:3" x14ac:dyDescent="0.3">
      <c r="C223" s="4">
        <v>122</v>
      </c>
    </row>
    <row r="224" spans="3:3" x14ac:dyDescent="0.3">
      <c r="C224" s="4">
        <v>153</v>
      </c>
    </row>
    <row r="225" spans="3:3" x14ac:dyDescent="0.3">
      <c r="C225" s="4">
        <v>125</v>
      </c>
    </row>
    <row r="226" spans="3:3" x14ac:dyDescent="0.3">
      <c r="C226" s="4">
        <v>130</v>
      </c>
    </row>
    <row r="227" spans="3:3" x14ac:dyDescent="0.3">
      <c r="C227" s="4">
        <v>249</v>
      </c>
    </row>
    <row r="228" spans="3:3" x14ac:dyDescent="0.3">
      <c r="C228" s="4">
        <v>125</v>
      </c>
    </row>
    <row r="229" spans="3:3" x14ac:dyDescent="0.3">
      <c r="C229" s="4">
        <v>128</v>
      </c>
    </row>
    <row r="230" spans="3:3" x14ac:dyDescent="0.3">
      <c r="C230" s="4">
        <v>147</v>
      </c>
    </row>
    <row r="231" spans="3:3" x14ac:dyDescent="0.3">
      <c r="C231" s="4">
        <v>219</v>
      </c>
    </row>
    <row r="232" spans="3:3" x14ac:dyDescent="0.3">
      <c r="C232" s="4">
        <v>125</v>
      </c>
    </row>
    <row r="233" spans="3:3" x14ac:dyDescent="0.3">
      <c r="C233" s="4">
        <v>118</v>
      </c>
    </row>
    <row r="234" spans="3:3" x14ac:dyDescent="0.3">
      <c r="C234" s="4">
        <v>127</v>
      </c>
    </row>
    <row r="235" spans="3:3" x14ac:dyDescent="0.3">
      <c r="C235" s="4">
        <v>135</v>
      </c>
    </row>
    <row r="236" spans="3:3" x14ac:dyDescent="0.3">
      <c r="C236" s="4">
        <v>126</v>
      </c>
    </row>
    <row r="237" spans="3:3" x14ac:dyDescent="0.3">
      <c r="C237" s="4">
        <v>125</v>
      </c>
    </row>
    <row r="238" spans="3:3" x14ac:dyDescent="0.3">
      <c r="C238" s="4">
        <v>122</v>
      </c>
    </row>
    <row r="239" spans="3:3" x14ac:dyDescent="0.3">
      <c r="C239" s="4">
        <v>144</v>
      </c>
    </row>
    <row r="240" spans="3:3" x14ac:dyDescent="0.3">
      <c r="C240" s="4">
        <v>135</v>
      </c>
    </row>
    <row r="241" spans="3:3" x14ac:dyDescent="0.3">
      <c r="C241" s="4">
        <v>122</v>
      </c>
    </row>
    <row r="242" spans="3:3" x14ac:dyDescent="0.3">
      <c r="C242" s="4">
        <v>135</v>
      </c>
    </row>
    <row r="243" spans="3:3" x14ac:dyDescent="0.3">
      <c r="C243" s="4">
        <v>749</v>
      </c>
    </row>
    <row r="244" spans="3:3" x14ac:dyDescent="0.3">
      <c r="C244" s="4">
        <v>139</v>
      </c>
    </row>
    <row r="245" spans="3:3" x14ac:dyDescent="0.3">
      <c r="C245" s="4">
        <v>127</v>
      </c>
    </row>
    <row r="246" spans="3:3" x14ac:dyDescent="0.3">
      <c r="C246" s="4">
        <v>199</v>
      </c>
    </row>
    <row r="247" spans="3:3" x14ac:dyDescent="0.3">
      <c r="C247" s="4">
        <v>122</v>
      </c>
    </row>
    <row r="248" spans="3:3" x14ac:dyDescent="0.3">
      <c r="C248" s="4">
        <v>157</v>
      </c>
    </row>
    <row r="249" spans="3:3" x14ac:dyDescent="0.3">
      <c r="C249" s="4">
        <v>113</v>
      </c>
    </row>
    <row r="250" spans="3:3" x14ac:dyDescent="0.3">
      <c r="C250" s="4">
        <v>125</v>
      </c>
    </row>
    <row r="251" spans="3:3" x14ac:dyDescent="0.3">
      <c r="C251" s="4">
        <v>189</v>
      </c>
    </row>
    <row r="252" spans="3:3" x14ac:dyDescent="0.3">
      <c r="C252" s="4">
        <v>169</v>
      </c>
    </row>
    <row r="253" spans="3:3" x14ac:dyDescent="0.3">
      <c r="C253" s="4">
        <v>185</v>
      </c>
    </row>
    <row r="254" spans="3:3" x14ac:dyDescent="0.3">
      <c r="C254" s="4">
        <v>189</v>
      </c>
    </row>
    <row r="255" spans="3:3" x14ac:dyDescent="0.3">
      <c r="C255" s="4">
        <v>115</v>
      </c>
    </row>
    <row r="256" spans="3:3" x14ac:dyDescent="0.3">
      <c r="C256" s="4">
        <v>134</v>
      </c>
    </row>
    <row r="257" spans="3:3" x14ac:dyDescent="0.3">
      <c r="C257" s="4">
        <v>149</v>
      </c>
    </row>
    <row r="258" spans="3:3" x14ac:dyDescent="0.3">
      <c r="C258" s="4">
        <v>270</v>
      </c>
    </row>
    <row r="259" spans="3:3" x14ac:dyDescent="0.3">
      <c r="C259" s="4">
        <v>125</v>
      </c>
    </row>
    <row r="260" spans="3:3" x14ac:dyDescent="0.3">
      <c r="C260" s="4">
        <v>143</v>
      </c>
    </row>
    <row r="261" spans="3:3" x14ac:dyDescent="0.3">
      <c r="C261" s="4">
        <v>159</v>
      </c>
    </row>
    <row r="262" spans="3:3" x14ac:dyDescent="0.3">
      <c r="C262" s="4">
        <v>299</v>
      </c>
    </row>
    <row r="263" spans="3:3" x14ac:dyDescent="0.3">
      <c r="C263" s="4">
        <v>135</v>
      </c>
    </row>
    <row r="264" spans="3:3" x14ac:dyDescent="0.3">
      <c r="C264" s="4">
        <v>137</v>
      </c>
    </row>
    <row r="265" spans="3:3" x14ac:dyDescent="0.3">
      <c r="C265" s="4">
        <v>299</v>
      </c>
    </row>
    <row r="266" spans="3:3" x14ac:dyDescent="0.3">
      <c r="C266" s="4">
        <v>129</v>
      </c>
    </row>
    <row r="267" spans="3:3" x14ac:dyDescent="0.3">
      <c r="C267" s="4">
        <v>125</v>
      </c>
    </row>
    <row r="268" spans="3:3" x14ac:dyDescent="0.3">
      <c r="C268" s="4">
        <v>275</v>
      </c>
    </row>
    <row r="269" spans="3:3" x14ac:dyDescent="0.3">
      <c r="C269" s="4">
        <v>145</v>
      </c>
    </row>
    <row r="270" spans="3:3" x14ac:dyDescent="0.3">
      <c r="C270" s="4">
        <v>119</v>
      </c>
    </row>
    <row r="271" spans="3:3" x14ac:dyDescent="0.3">
      <c r="C271" s="4">
        <v>145</v>
      </c>
    </row>
    <row r="272" spans="3:3" x14ac:dyDescent="0.3">
      <c r="C272" s="4">
        <v>126</v>
      </c>
    </row>
    <row r="273" spans="3:3" x14ac:dyDescent="0.3">
      <c r="C273" s="4">
        <v>124</v>
      </c>
    </row>
    <row r="274" spans="3:3" x14ac:dyDescent="0.3">
      <c r="C274" s="4">
        <v>298</v>
      </c>
    </row>
    <row r="275" spans="3:3" x14ac:dyDescent="0.3">
      <c r="C275" s="4">
        <v>122</v>
      </c>
    </row>
    <row r="276" spans="3:3" x14ac:dyDescent="0.3">
      <c r="C276" s="4">
        <v>141</v>
      </c>
    </row>
    <row r="277" spans="3:3" x14ac:dyDescent="0.3">
      <c r="C277" s="4">
        <v>289</v>
      </c>
    </row>
    <row r="278" spans="3:3" x14ac:dyDescent="0.3">
      <c r="C278" s="4">
        <v>135</v>
      </c>
    </row>
    <row r="279" spans="3:3" x14ac:dyDescent="0.3">
      <c r="C279" s="4">
        <v>125</v>
      </c>
    </row>
    <row r="280" spans="3:3" x14ac:dyDescent="0.3">
      <c r="C280" s="4">
        <v>189</v>
      </c>
    </row>
    <row r="281" spans="3:3" x14ac:dyDescent="0.3">
      <c r="C281" s="4">
        <v>271</v>
      </c>
    </row>
    <row r="282" spans="3:3" x14ac:dyDescent="0.3">
      <c r="C282" s="4">
        <v>127</v>
      </c>
    </row>
    <row r="283" spans="3:3" x14ac:dyDescent="0.3">
      <c r="C283" s="4">
        <v>126</v>
      </c>
    </row>
    <row r="284" spans="3:3" x14ac:dyDescent="0.3">
      <c r="C284" s="4">
        <v>130</v>
      </c>
    </row>
    <row r="285" spans="3:3" x14ac:dyDescent="0.3">
      <c r="C285" s="4">
        <v>130</v>
      </c>
    </row>
    <row r="286" spans="3:3" x14ac:dyDescent="0.3">
      <c r="C286" s="4">
        <v>126</v>
      </c>
    </row>
    <row r="287" spans="3:3" x14ac:dyDescent="0.3">
      <c r="C287" s="4">
        <v>166</v>
      </c>
    </row>
    <row r="288" spans="3:3" x14ac:dyDescent="0.3">
      <c r="C288" s="4">
        <v>199</v>
      </c>
    </row>
    <row r="289" spans="3:3" x14ac:dyDescent="0.3">
      <c r="C289" s="4">
        <v>150</v>
      </c>
    </row>
    <row r="290" spans="3:3" x14ac:dyDescent="0.3">
      <c r="C290" s="4">
        <v>127</v>
      </c>
    </row>
    <row r="291" spans="3:3" x14ac:dyDescent="0.3">
      <c r="C291" s="4">
        <v>178</v>
      </c>
    </row>
    <row r="292" spans="3:3" x14ac:dyDescent="0.3">
      <c r="C292" s="4">
        <v>135</v>
      </c>
    </row>
    <row r="293" spans="3:3" x14ac:dyDescent="0.3">
      <c r="C293" s="4">
        <v>145</v>
      </c>
    </row>
    <row r="294" spans="3:3" x14ac:dyDescent="0.3">
      <c r="C294" s="4">
        <v>121</v>
      </c>
    </row>
    <row r="295" spans="3:3" x14ac:dyDescent="0.3">
      <c r="C295" s="4">
        <v>134</v>
      </c>
    </row>
    <row r="296" spans="3:3" x14ac:dyDescent="0.3">
      <c r="C296" s="4">
        <v>134</v>
      </c>
    </row>
    <row r="297" spans="3:3" x14ac:dyDescent="0.3">
      <c r="C297" s="4">
        <v>150</v>
      </c>
    </row>
    <row r="298" spans="3:3" x14ac:dyDescent="0.3">
      <c r="C298" s="4">
        <v>237</v>
      </c>
    </row>
    <row r="299" spans="3:3" x14ac:dyDescent="0.3">
      <c r="C299" s="4">
        <v>126</v>
      </c>
    </row>
    <row r="300" spans="3:3" x14ac:dyDescent="0.3">
      <c r="C300" s="4">
        <v>139</v>
      </c>
    </row>
    <row r="301" spans="3:3" x14ac:dyDescent="0.3">
      <c r="C301" s="4">
        <v>171</v>
      </c>
    </row>
    <row r="302" spans="3:3" x14ac:dyDescent="0.3">
      <c r="C302" s="4">
        <v>113</v>
      </c>
    </row>
    <row r="303" spans="3:3" x14ac:dyDescent="0.3">
      <c r="C303" s="4">
        <v>165</v>
      </c>
    </row>
    <row r="304" spans="3:3" x14ac:dyDescent="0.3">
      <c r="C304" s="4">
        <v>158</v>
      </c>
    </row>
    <row r="305" spans="3:3" x14ac:dyDescent="0.3">
      <c r="C305" s="4">
        <v>120</v>
      </c>
    </row>
    <row r="306" spans="3:3" x14ac:dyDescent="0.3">
      <c r="C306" s="4">
        <v>136</v>
      </c>
    </row>
    <row r="307" spans="3:3" x14ac:dyDescent="0.3">
      <c r="C307" s="4">
        <v>155</v>
      </c>
    </row>
    <row r="308" spans="3:3" x14ac:dyDescent="0.3">
      <c r="C308" s="4">
        <v>126</v>
      </c>
    </row>
    <row r="309" spans="3:3" x14ac:dyDescent="0.3">
      <c r="C309" s="4">
        <v>135</v>
      </c>
    </row>
    <row r="310" spans="3:3" x14ac:dyDescent="0.3">
      <c r="C310" s="4">
        <v>127</v>
      </c>
    </row>
    <row r="311" spans="3:3" x14ac:dyDescent="0.3">
      <c r="C311" s="4">
        <v>127</v>
      </c>
    </row>
    <row r="312" spans="3:3" x14ac:dyDescent="0.3">
      <c r="C312" s="4">
        <v>125</v>
      </c>
    </row>
    <row r="313" spans="3:3" x14ac:dyDescent="0.3">
      <c r="C313" s="4">
        <v>163</v>
      </c>
    </row>
    <row r="314" spans="3:3" x14ac:dyDescent="0.3">
      <c r="C314" s="4">
        <v>128</v>
      </c>
    </row>
    <row r="315" spans="3:3" x14ac:dyDescent="0.3">
      <c r="C315" s="4">
        <v>139</v>
      </c>
    </row>
    <row r="316" spans="3:3" x14ac:dyDescent="0.3">
      <c r="C316" s="4">
        <v>155</v>
      </c>
    </row>
    <row r="317" spans="3:3" x14ac:dyDescent="0.3">
      <c r="C317" s="4">
        <v>288</v>
      </c>
    </row>
    <row r="318" spans="3:3" x14ac:dyDescent="0.3">
      <c r="C318" s="4">
        <v>180</v>
      </c>
    </row>
    <row r="319" spans="3:3" x14ac:dyDescent="0.3">
      <c r="C319" s="4">
        <v>155</v>
      </c>
    </row>
    <row r="320" spans="3:3" x14ac:dyDescent="0.3">
      <c r="C320" s="4">
        <v>143</v>
      </c>
    </row>
    <row r="321" spans="3:3" x14ac:dyDescent="0.3">
      <c r="C321" s="4">
        <v>135</v>
      </c>
    </row>
    <row r="322" spans="3:3" x14ac:dyDescent="0.3">
      <c r="C322" s="4">
        <v>129</v>
      </c>
    </row>
    <row r="323" spans="3:3" x14ac:dyDescent="0.3">
      <c r="C323" s="4">
        <v>199</v>
      </c>
    </row>
    <row r="324" spans="3:3" x14ac:dyDescent="0.3">
      <c r="C324" s="4">
        <v>120</v>
      </c>
    </row>
    <row r="325" spans="3:3" x14ac:dyDescent="0.3">
      <c r="C325" s="4">
        <v>449</v>
      </c>
    </row>
    <row r="326" spans="3:3" x14ac:dyDescent="0.3">
      <c r="C326" s="4">
        <v>139</v>
      </c>
    </row>
    <row r="327" spans="3:3" x14ac:dyDescent="0.3">
      <c r="C327" s="4">
        <v>449</v>
      </c>
    </row>
    <row r="328" spans="3:3" x14ac:dyDescent="0.3">
      <c r="C328" s="4">
        <v>113</v>
      </c>
    </row>
    <row r="329" spans="3:3" x14ac:dyDescent="0.3">
      <c r="C329" s="4">
        <v>126</v>
      </c>
    </row>
    <row r="330" spans="3:3" x14ac:dyDescent="0.3">
      <c r="C330" s="4">
        <v>148</v>
      </c>
    </row>
    <row r="331" spans="3:3" x14ac:dyDescent="0.3">
      <c r="C331" s="4">
        <v>134</v>
      </c>
    </row>
    <row r="332" spans="3:3" x14ac:dyDescent="0.3">
      <c r="C332" s="4">
        <v>296</v>
      </c>
    </row>
    <row r="333" spans="3:3" x14ac:dyDescent="0.3">
      <c r="C333" s="4">
        <v>126</v>
      </c>
    </row>
    <row r="334" spans="3:3" x14ac:dyDescent="0.3">
      <c r="C334" s="4">
        <v>452</v>
      </c>
    </row>
    <row r="335" spans="3:3" x14ac:dyDescent="0.3">
      <c r="C335" s="4">
        <v>130</v>
      </c>
    </row>
    <row r="336" spans="3:3" x14ac:dyDescent="0.3">
      <c r="C336" s="4">
        <v>122</v>
      </c>
    </row>
    <row r="337" spans="3:3" x14ac:dyDescent="0.3">
      <c r="C337" s="4">
        <v>135</v>
      </c>
    </row>
    <row r="338" spans="3:3" x14ac:dyDescent="0.3">
      <c r="C338" s="4">
        <v>125</v>
      </c>
    </row>
    <row r="339" spans="3:3" x14ac:dyDescent="0.3">
      <c r="C339" s="4">
        <v>120</v>
      </c>
    </row>
    <row r="340" spans="3:3" x14ac:dyDescent="0.3">
      <c r="C340" s="4">
        <v>199</v>
      </c>
    </row>
    <row r="341" spans="3:3" x14ac:dyDescent="0.3">
      <c r="C341" s="4">
        <v>120</v>
      </c>
    </row>
    <row r="342" spans="3:3" x14ac:dyDescent="0.3">
      <c r="C342" s="4">
        <v>121</v>
      </c>
    </row>
    <row r="343" spans="3:3" x14ac:dyDescent="0.3">
      <c r="C343" s="4">
        <v>135</v>
      </c>
    </row>
    <row r="344" spans="3:3" x14ac:dyDescent="0.3">
      <c r="C344" s="4">
        <v>149</v>
      </c>
    </row>
    <row r="345" spans="3:3" x14ac:dyDescent="0.3">
      <c r="C345" s="4">
        <v>118</v>
      </c>
    </row>
    <row r="346" spans="3:3" x14ac:dyDescent="0.3">
      <c r="C346" s="4">
        <v>122</v>
      </c>
    </row>
    <row r="347" spans="3:3" x14ac:dyDescent="0.3">
      <c r="C347" s="4">
        <v>115</v>
      </c>
    </row>
    <row r="348" spans="3:3" x14ac:dyDescent="0.3">
      <c r="C348" s="4">
        <v>109</v>
      </c>
    </row>
    <row r="349" spans="3:3" x14ac:dyDescent="0.3">
      <c r="C349" s="4">
        <v>122</v>
      </c>
    </row>
    <row r="350" spans="3:3" x14ac:dyDescent="0.3">
      <c r="C350" s="4">
        <v>162</v>
      </c>
    </row>
    <row r="351" spans="3:3" x14ac:dyDescent="0.3">
      <c r="C351" s="4">
        <v>138</v>
      </c>
    </row>
    <row r="352" spans="3:3" x14ac:dyDescent="0.3">
      <c r="C352" s="4">
        <v>136</v>
      </c>
    </row>
    <row r="353" spans="3:3" x14ac:dyDescent="0.3">
      <c r="C353" s="4">
        <v>399</v>
      </c>
    </row>
    <row r="354" spans="3:3" x14ac:dyDescent="0.3">
      <c r="C354" s="4">
        <v>199</v>
      </c>
    </row>
    <row r="355" spans="3:3" x14ac:dyDescent="0.3">
      <c r="C355" s="4">
        <v>127</v>
      </c>
    </row>
    <row r="356" spans="3:3" x14ac:dyDescent="0.3">
      <c r="C356" s="4">
        <v>242</v>
      </c>
    </row>
    <row r="357" spans="3:3" x14ac:dyDescent="0.3">
      <c r="C357" s="4">
        <v>128</v>
      </c>
    </row>
    <row r="358" spans="3:3" x14ac:dyDescent="0.3">
      <c r="C358" s="4">
        <v>134</v>
      </c>
    </row>
    <row r="359" spans="3:3" x14ac:dyDescent="0.3">
      <c r="C359" s="4">
        <v>126</v>
      </c>
    </row>
    <row r="360" spans="3:3" x14ac:dyDescent="0.3">
      <c r="C360" s="4">
        <v>199</v>
      </c>
    </row>
    <row r="361" spans="3:3" x14ac:dyDescent="0.3">
      <c r="C361" s="4">
        <v>170</v>
      </c>
    </row>
    <row r="362" spans="3:3" x14ac:dyDescent="0.3">
      <c r="C362" s="4">
        <v>142</v>
      </c>
    </row>
    <row r="363" spans="3:3" x14ac:dyDescent="0.3">
      <c r="C363" s="4">
        <v>121</v>
      </c>
    </row>
    <row r="364" spans="3:3" x14ac:dyDescent="0.3">
      <c r="C364" s="4">
        <v>137</v>
      </c>
    </row>
    <row r="365" spans="3:3" x14ac:dyDescent="0.3">
      <c r="C365" s="4">
        <v>199</v>
      </c>
    </row>
    <row r="366" spans="3:3" x14ac:dyDescent="0.3">
      <c r="C366" s="4">
        <v>171</v>
      </c>
    </row>
    <row r="367" spans="3:3" x14ac:dyDescent="0.3">
      <c r="C367" s="4">
        <v>299</v>
      </c>
    </row>
    <row r="368" spans="3:3" x14ac:dyDescent="0.3">
      <c r="C368" s="4">
        <v>169</v>
      </c>
    </row>
    <row r="369" spans="3:3" x14ac:dyDescent="0.3">
      <c r="C369" s="4">
        <v>399</v>
      </c>
    </row>
    <row r="370" spans="3:3" x14ac:dyDescent="0.3">
      <c r="C370" s="4">
        <v>249</v>
      </c>
    </row>
    <row r="371" spans="3:3" x14ac:dyDescent="0.3">
      <c r="C371" s="4">
        <v>129</v>
      </c>
    </row>
    <row r="372" spans="3:3" x14ac:dyDescent="0.3">
      <c r="C372" s="4">
        <v>134</v>
      </c>
    </row>
    <row r="373" spans="3:3" x14ac:dyDescent="0.3">
      <c r="C373" s="4">
        <v>349</v>
      </c>
    </row>
    <row r="374" spans="3:3" x14ac:dyDescent="0.3">
      <c r="C374" s="4">
        <v>125</v>
      </c>
    </row>
    <row r="375" spans="3:3" x14ac:dyDescent="0.3">
      <c r="C375" s="4">
        <v>329</v>
      </c>
    </row>
    <row r="376" spans="3:3" x14ac:dyDescent="0.3">
      <c r="C376" s="4">
        <v>123</v>
      </c>
    </row>
    <row r="377" spans="3:3" x14ac:dyDescent="0.3">
      <c r="C377" s="4">
        <v>271</v>
      </c>
    </row>
    <row r="378" spans="3:3" x14ac:dyDescent="0.3">
      <c r="C378" s="4">
        <v>299</v>
      </c>
    </row>
    <row r="379" spans="3:3" x14ac:dyDescent="0.3">
      <c r="C379" s="4">
        <v>299</v>
      </c>
    </row>
    <row r="380" spans="3:3" x14ac:dyDescent="0.3">
      <c r="C380" s="4">
        <v>177</v>
      </c>
    </row>
    <row r="381" spans="3:3" x14ac:dyDescent="0.3">
      <c r="C381" s="4">
        <v>268</v>
      </c>
    </row>
    <row r="382" spans="3:3" x14ac:dyDescent="0.3">
      <c r="C382" s="4">
        <v>135</v>
      </c>
    </row>
    <row r="383" spans="3:3" x14ac:dyDescent="0.3">
      <c r="C383" s="4">
        <v>165</v>
      </c>
    </row>
    <row r="384" spans="3:3" x14ac:dyDescent="0.3">
      <c r="C384" s="4">
        <v>329</v>
      </c>
    </row>
    <row r="385" spans="3:3" x14ac:dyDescent="0.3">
      <c r="C385" s="4">
        <v>329</v>
      </c>
    </row>
    <row r="386" spans="3:3" x14ac:dyDescent="0.3">
      <c r="C386" s="4">
        <v>133</v>
      </c>
    </row>
    <row r="387" spans="3:3" x14ac:dyDescent="0.3">
      <c r="C387" s="4">
        <v>289</v>
      </c>
    </row>
    <row r="388" spans="3:3" x14ac:dyDescent="0.3">
      <c r="C388" s="4">
        <v>299</v>
      </c>
    </row>
    <row r="389" spans="3:3" x14ac:dyDescent="0.3">
      <c r="C389" s="4">
        <v>299</v>
      </c>
    </row>
    <row r="390" spans="3:3" x14ac:dyDescent="0.3">
      <c r="C390" s="4">
        <v>179</v>
      </c>
    </row>
    <row r="391" spans="3:3" x14ac:dyDescent="0.3">
      <c r="C391" s="4">
        <v>199</v>
      </c>
    </row>
    <row r="392" spans="3:3" x14ac:dyDescent="0.3">
      <c r="C392" s="4">
        <v>275</v>
      </c>
    </row>
    <row r="393" spans="3:3" x14ac:dyDescent="0.3">
      <c r="C393" s="4">
        <v>249</v>
      </c>
    </row>
    <row r="394" spans="3:3" x14ac:dyDescent="0.3">
      <c r="C394" s="4">
        <v>299</v>
      </c>
    </row>
    <row r="395" spans="3:3" x14ac:dyDescent="0.3">
      <c r="C395" s="4">
        <v>379</v>
      </c>
    </row>
    <row r="396" spans="3:3" x14ac:dyDescent="0.3">
      <c r="C396" s="4">
        <v>199</v>
      </c>
    </row>
    <row r="397" spans="3:3" x14ac:dyDescent="0.3">
      <c r="C397" s="4">
        <v>199</v>
      </c>
    </row>
    <row r="398" spans="3:3" x14ac:dyDescent="0.3">
      <c r="C398" s="4">
        <v>298</v>
      </c>
    </row>
    <row r="399" spans="3:3" x14ac:dyDescent="0.3">
      <c r="C399" s="4">
        <v>199</v>
      </c>
    </row>
    <row r="400" spans="3:3" x14ac:dyDescent="0.3">
      <c r="C400" s="4">
        <v>299</v>
      </c>
    </row>
    <row r="401" spans="3:3" x14ac:dyDescent="0.3">
      <c r="C401" s="4">
        <v>290</v>
      </c>
    </row>
    <row r="402" spans="3:3" x14ac:dyDescent="0.3">
      <c r="C402" s="4">
        <v>229</v>
      </c>
    </row>
    <row r="403" spans="3:3" x14ac:dyDescent="0.3">
      <c r="C403" s="4">
        <v>199</v>
      </c>
    </row>
    <row r="404" spans="3:3" x14ac:dyDescent="0.3">
      <c r="C404" s="4">
        <v>399</v>
      </c>
    </row>
    <row r="405" spans="3:3" x14ac:dyDescent="0.3">
      <c r="C405" s="4">
        <v>279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DASHBOARD</vt:lpstr>
      <vt:lpstr>plant size chart by count</vt:lpstr>
      <vt:lpstr>return policy chart by count</vt:lpstr>
      <vt:lpstr>plant type chart by count</vt:lpstr>
      <vt:lpstr>life cycle chart by count</vt:lpstr>
      <vt:lpstr>location chart by name</vt:lpstr>
      <vt:lpstr>feng shui chart by count</vt:lpstr>
      <vt:lpstr>hybride chart by count</vt:lpstr>
      <vt:lpstr>top 10 brand</vt:lpstr>
      <vt:lpstr>box and whisker</vt:lpstr>
      <vt:lpstr>HISTOGRAM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divya.thakur1506@gmail.com</cp:lastModifiedBy>
  <dcterms:created xsi:type="dcterms:W3CDTF">2025-07-23T08:15:45Z</dcterms:created>
  <dcterms:modified xsi:type="dcterms:W3CDTF">2026-03-08T13:13:33Z</dcterms:modified>
</cp:coreProperties>
</file>